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bìa" sheetId="1" state="visible" r:id="rId1"/>
    <sheet xmlns:r="http://schemas.openxmlformats.org/officeDocument/2006/relationships" name="Hướng dẫn" sheetId="2" state="visible" r:id="rId2"/>
    <sheet xmlns:r="http://schemas.openxmlformats.org/officeDocument/2006/relationships" name="Tổng quan" sheetId="3" state="visible" r:id="rId3"/>
    <sheet xmlns:r="http://schemas.openxmlformats.org/officeDocument/2006/relationships" name="Tổng hợp kết quả" sheetId="4" state="visible" r:id="rId4"/>
    <sheet xmlns:r="http://schemas.openxmlformats.org/officeDocument/2006/relationships" name="Tên chức năng" sheetId="5" state="visible" r:id="rId5"/>
    <sheet xmlns:r="http://schemas.openxmlformats.org/officeDocument/2006/relationships" name="Tên API" sheetId="6" state="visible" r:id="rId6"/>
    <sheet xmlns:r="http://schemas.openxmlformats.org/officeDocument/2006/relationships" name="Dữ liệu test" sheetId="7" state="visible" r:id="rId7"/>
    <sheet xmlns:r="http://schemas.openxmlformats.org/officeDocument/2006/relationships" name="_Tra cứu" sheetId="8" state="hidden" r:id="rId8"/>
  </sheets>
  <definedNames>
    <definedName name="_xlnm._FilterDatabase" localSheetId="4" hidden="1">'Tên chức năng'!$A$12:$N$12</definedName>
    <definedName name="_xlnm.Print_Titles" localSheetId="4">'Tên chức năng'!$1:$12</definedName>
    <definedName name="_xlnm._FilterDatabase" localSheetId="5" hidden="1">'Tên API'!$A$12:$N$12</definedName>
    <definedName name="_xlnm.Print_Titles" localSheetId="5">'Tên API'!$1:$12</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Times New Roman"/>
      <b val="1"/>
      <color rgb="001F4E78"/>
      <sz val="20"/>
    </font>
    <font>
      <name val="Times New Roman"/>
      <i val="1"/>
      <sz val="14"/>
    </font>
    <font>
      <name val="Times New Roman"/>
      <i val="1"/>
      <color rgb="00666666"/>
      <sz val="10"/>
    </font>
    <font>
      <name val="Times New Roman"/>
      <b val="1"/>
      <color rgb="001F4E78"/>
      <sz val="12"/>
    </font>
    <font>
      <name val="Times New Roman"/>
      <sz val="11"/>
    </font>
    <font>
      <name val="Times New Roman"/>
      <b val="1"/>
      <sz val="11"/>
    </font>
    <font>
      <name val="Times New Roman"/>
      <b val="1"/>
      <color rgb="00FFFFFF"/>
      <sz val="11"/>
    </font>
    <font>
      <name val="Times New Roman"/>
      <b val="1"/>
      <color rgb="001F4E78"/>
      <sz val="16"/>
    </font>
    <font>
      <name val="Times New Roman"/>
      <b val="1"/>
      <color rgb="001F4E78"/>
      <sz val="13"/>
    </font>
    <font>
      <name val="Times New Roman"/>
      <b val="1"/>
      <color rgb="00FFFFFF"/>
      <sz val="14"/>
    </font>
    <font>
      <name val="Times New Roman"/>
      <b val="1"/>
      <color rgb="001F4E78"/>
      <sz val="11"/>
    </font>
    <font>
      <name val="Times New Roman"/>
      <b val="1"/>
      <i val="1"/>
      <sz val="11"/>
    </font>
    <font>
      <name val="Times New Roman"/>
      <color rgb="00666666"/>
      <sz val="10"/>
    </font>
    <font/>
  </fonts>
  <fills count="5">
    <fill>
      <patternFill/>
    </fill>
    <fill>
      <patternFill patternType="gray125"/>
    </fill>
    <fill>
      <patternFill patternType="solid">
        <fgColor rgb="00D9E1F2"/>
      </patternFill>
    </fill>
    <fill>
      <patternFill patternType="solid">
        <fgColor rgb="001F4E78"/>
      </patternFill>
    </fill>
    <fill>
      <patternFill patternType="solid">
        <fgColor rgb="00EAF1F8"/>
      </patternFill>
    </fill>
  </fills>
  <borders count="10">
    <border>
      <left/>
      <right/>
      <top/>
      <bottom/>
      <diagonal/>
    </border>
    <border>
      <left style="thin">
        <color rgb="00888888"/>
      </left>
      <right style="thin">
        <color rgb="00888888"/>
      </right>
      <top style="thin">
        <color rgb="00888888"/>
      </top>
      <bottom style="thin">
        <color rgb="00888888"/>
      </bottom>
    </border>
    <border>
      <left/>
      <right/>
      <top style="thin">
        <color rgb="00888888"/>
      </top>
      <bottom/>
      <diagonal/>
    </border>
    <border>
      <left/>
      <right style="thin">
        <color rgb="00888888"/>
      </right>
      <top style="thin">
        <color rgb="00888888"/>
      </top>
      <bottom/>
      <diagonal/>
    </border>
    <border>
      <left/>
      <right/>
      <top style="thin">
        <color rgb="00888888"/>
      </top>
      <bottom style="thin">
        <color rgb="00888888"/>
      </bottom>
      <diagonal/>
    </border>
    <border>
      <left/>
      <right style="thin">
        <color rgb="00888888"/>
      </right>
      <top style="thin">
        <color rgb="00888888"/>
      </top>
      <bottom style="thin">
        <color rgb="00888888"/>
      </bottom>
      <diagonal/>
    </border>
    <border>
      <left style="thin">
        <color rgb="00888888"/>
      </left>
      <right/>
      <top/>
      <bottom/>
      <diagonal/>
    </border>
    <border>
      <left style="thin">
        <color rgb="00888888"/>
      </left>
      <right style="thin">
        <color rgb="00888888"/>
      </right>
      <top/>
      <bottom/>
      <diagonal/>
    </border>
    <border>
      <left style="thin">
        <color rgb="00888888"/>
      </left>
      <right style="thin">
        <color rgb="00888888"/>
      </right>
      <top/>
      <bottom style="thin">
        <color rgb="00888888"/>
      </bottom>
      <diagonal/>
    </border>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6" fillId="0" borderId="1" applyAlignment="1" pivotButton="0" quotePrefix="0" xfId="0">
      <alignment horizontal="left" vertical="top"/>
    </xf>
    <xf numFmtId="0" fontId="5" fillId="0" borderId="1" applyAlignment="1" pivotButton="0" quotePrefix="0" xfId="0">
      <alignment horizontal="left" vertical="top" wrapText="1"/>
    </xf>
    <xf numFmtId="0" fontId="7" fillId="3" borderId="1" applyAlignment="1" pivotButton="0" quotePrefix="0" xfId="0">
      <alignment horizontal="center" vertical="center" wrapText="1"/>
    </xf>
    <xf numFmtId="0" fontId="8" fillId="0" borderId="0" pivotButton="0" quotePrefix="0" xfId="0"/>
    <xf numFmtId="0" fontId="5" fillId="0" borderId="0" applyAlignment="1" pivotButton="0" quotePrefix="0" xfId="0">
      <alignment horizontal="left" vertical="top" wrapText="1"/>
    </xf>
    <xf numFmtId="0" fontId="9" fillId="0" borderId="0" pivotButton="0" quotePrefix="0" xfId="0"/>
    <xf numFmtId="0" fontId="8" fillId="0" borderId="0" applyAlignment="1" pivotButton="0" quotePrefix="0" xfId="0">
      <alignment horizontal="center" vertical="center"/>
    </xf>
    <xf numFmtId="0" fontId="6" fillId="4" borderId="1" applyAlignment="1" pivotButton="0" quotePrefix="0" xfId="0">
      <alignment horizontal="left" vertical="top"/>
    </xf>
    <xf numFmtId="0" fontId="10" fillId="3" borderId="1" applyAlignment="1" pivotButton="0" quotePrefix="0" xfId="0">
      <alignment horizontal="center" vertical="center" wrapText="1"/>
    </xf>
    <xf numFmtId="0" fontId="5" fillId="0" borderId="1" applyAlignment="1" pivotButton="0" quotePrefix="0" xfId="0">
      <alignment horizontal="left"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1" fillId="4"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12" fillId="4" borderId="1" applyAlignment="1" pivotButton="0" quotePrefix="0" xfId="0">
      <alignment horizontal="left" vertical="center"/>
    </xf>
    <xf numFmtId="0" fontId="3" fillId="0" borderId="0" pivotButton="0" quotePrefix="0" xfId="0"/>
    <xf numFmtId="0" fontId="13" fillId="0" borderId="0" pivotButton="0" quotePrefix="0" xfId="0"/>
    <xf numFmtId="0" fontId="6" fillId="0" borderId="0" applyAlignment="1" pivotButton="0" quotePrefix="0" xfId="0">
      <alignment horizontal="right"/>
    </xf>
    <xf numFmtId="0" fontId="5" fillId="0" borderId="1" applyAlignment="1" pivotButton="0" quotePrefix="0" xfId="0">
      <alignment horizontal="left" vertical="center" wrapText="1"/>
    </xf>
    <xf numFmtId="0" fontId="6" fillId="0" borderId="0" pivotButton="0" quotePrefix="0" xfId="0"/>
    <xf numFmtId="0" fontId="0" fillId="0" borderId="4" pivotButton="0" quotePrefix="0" xfId="0"/>
    <xf numFmtId="0" fontId="0" fillId="0" borderId="5" pivotButton="0" quotePrefix="0" xfId="0"/>
    <xf numFmtId="0" fontId="0" fillId="0" borderId="8" pivotButton="0" quotePrefix="0" xfId="0"/>
    <xf numFmtId="0" fontId="14" fillId="0" borderId="9" pivotButton="0" quotePrefix="0" xfId="0"/>
  </cellXfs>
  <cellStyles count="1">
    <cellStyle name="Normal" xfId="0" builtinId="0" hidden="0"/>
  </cellStyles>
  <dxfs count="10">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EDEDED"/>
          <bgColor rgb="00EDEDED"/>
        </patternFill>
      </fill>
    </dxf>
    <dxf>
      <fill>
        <patternFill patternType="solid">
          <fgColor rgb="00FFE4C4"/>
          <bgColor rgb="00FFE4C4"/>
        </patternFill>
      </fill>
    </dxf>
    <dxf>
      <fill>
        <patternFill patternType="solid">
          <fgColor rgb="00F4CCCC"/>
          <bgColor rgb="00F4CCCC"/>
        </patternFill>
      </fill>
    </dxf>
    <dxf>
      <fill>
        <patternFill patternType="solid">
          <fgColor rgb="00FCE5CD"/>
          <bgColor rgb="00FCE5CD"/>
        </patternFill>
      </fill>
    </dxf>
    <dxf>
      <fill>
        <patternFill patternType="solid">
          <fgColor rgb="00FFF2CC"/>
          <bgColor rgb="00FFF2CC"/>
        </patternFill>
      </fill>
    </dxf>
    <dxf>
      <fill>
        <patternFill patternType="solid">
          <fgColor rgb="00D9EAD3"/>
          <bgColor rgb="00D9EAD3"/>
        </patternFill>
      </fill>
    </dxf>
    <dxf>
      <fill>
        <patternFill patternType="solid">
          <fgColor rgb="00EFEFEF"/>
          <bgColor rgb="00EFEF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4" customWidth="1" min="1" max="1"/>
    <col width="22" customWidth="1" min="2" max="2"/>
    <col width="30" customWidth="1" min="3" max="3"/>
    <col width="18" customWidth="1" min="4" max="4"/>
    <col width="18" customWidth="1" min="5" max="5"/>
    <col width="18" customWidth="1" min="6" max="6"/>
    <col width="18" customWidth="1" min="7" max="7"/>
    <col width="18" customWidth="1" min="8" max="8"/>
  </cols>
  <sheetData>
    <row r="2">
      <c r="B2" s="1" t="inlineStr">
        <is>
          <t>[Tên hệ thống]</t>
        </is>
      </c>
    </row>
    <row r="3"/>
    <row r="4"/>
    <row r="5">
      <c r="B5" s="2" t="inlineStr">
        <is>
          <t>KỊCH BẢN KIỂM THỬ — TEST CASE DOCUMENT</t>
        </is>
      </c>
    </row>
    <row r="7">
      <c r="B7" s="3" t="inlineStr">
        <is>
          <t>Mã biểu mẫu: BM.QT.04.04 · Phiên bản: 1.0 · Ngày: dd/mm/yyyy</t>
        </is>
      </c>
    </row>
    <row r="10">
      <c r="B10" s="4" t="inlineStr">
        <is>
          <t>THÔNG TIN DỰ ÁN</t>
        </is>
      </c>
      <c r="C10" s="29" t="n"/>
      <c r="D10" s="29" t="n"/>
      <c r="E10" s="29" t="n"/>
      <c r="F10" s="29" t="n"/>
      <c r="G10" s="29" t="n"/>
      <c r="H10" s="30" t="n"/>
    </row>
    <row r="11">
      <c r="B11" s="5" t="inlineStr">
        <is>
          <t>Tên dự án</t>
        </is>
      </c>
      <c r="C11" s="6" t="inlineStr">
        <is>
          <t>ITS Mobile VEC — Ứng dụng di động vận hành ITS tuyến Nội Bài – Lào Cai</t>
        </is>
      </c>
      <c r="D11" s="29" t="n"/>
      <c r="E11" s="29" t="n"/>
      <c r="F11" s="29" t="n"/>
      <c r="G11" s="29" t="n"/>
      <c r="H11" s="30" t="n"/>
    </row>
    <row r="12">
      <c r="B12" s="5" t="inlineStr">
        <is>
          <t>Mã dự án</t>
        </is>
      </c>
      <c r="C12" s="6" t="inlineStr">
        <is>
          <t>ITS-MOBILE-VEC</t>
        </is>
      </c>
      <c r="D12" s="29" t="n"/>
      <c r="E12" s="29" t="n"/>
      <c r="F12" s="29" t="n"/>
      <c r="G12" s="29" t="n"/>
      <c r="H12" s="30" t="n"/>
    </row>
    <row r="13">
      <c r="B13" s="5" t="inlineStr">
        <is>
          <t>Khách hàng</t>
        </is>
      </c>
      <c r="C13" s="6" t="inlineStr">
        <is>
          <t>VEC — Tổng công ty đường cao tốc Việt Nam</t>
        </is>
      </c>
      <c r="D13" s="29" t="n"/>
      <c r="E13" s="29" t="n"/>
      <c r="F13" s="29" t="n"/>
      <c r="G13" s="29" t="n"/>
      <c r="H13" s="30" t="n"/>
    </row>
    <row r="14">
      <c r="B14" s="5" t="inlineStr">
        <is>
          <t>Đơn vị thực hiện</t>
        </is>
      </c>
      <c r="C14" s="6" t="inlineStr">
        <is>
          <t>Công ty Cổ phần Hệ thống Công nghệ ETC</t>
        </is>
      </c>
      <c r="D14" s="29" t="n"/>
      <c r="E14" s="29" t="n"/>
      <c r="F14" s="29" t="n"/>
      <c r="G14" s="29" t="n"/>
      <c r="H14" s="30" t="n"/>
    </row>
    <row r="15">
      <c r="B15" s="5" t="inlineStr">
        <is>
          <t>Phạm vi mô tả</t>
        </is>
      </c>
      <c r="C15" s="6" t="inlineStr">
        <is>
          <t>Ứng dụng di động iOS/Android cho nhân viên vận hành hiện trường tuyến cao tốc Nội Bài – Lào Cai. Cho phép nhân viên nhận nhiệm vụ xử lý sự cố từ Trung tâm điều hành (TMC), liên lạc nội bộ qua VoIP/PBX, cập nhật trạng thái xử lý theo thời gian thực, gửi ảnh/video hiện trường và gọi SOS khẩn cấp qua GSM.</t>
        </is>
      </c>
      <c r="D15" s="29" t="n"/>
      <c r="E15" s="29" t="n"/>
      <c r="F15" s="29" t="n"/>
      <c r="G15" s="29" t="n"/>
      <c r="H15" s="30" t="n"/>
    </row>
    <row r="16">
      <c r="B16" s="5" t="inlineStr">
        <is>
          <t>Công nghệ sử dụng</t>
        </is>
      </c>
      <c r="C16" s="6" t="inlineStr">
        <is>
          <t>React Native (iOS + Android) | React 18 + Vite 5 (prototype) | SIP/VoIP | FCM/APNs | REST API</t>
        </is>
      </c>
      <c r="D16" s="29" t="n"/>
      <c r="E16" s="29" t="n"/>
      <c r="F16" s="29" t="n"/>
      <c r="G16" s="29" t="n"/>
      <c r="H16" s="30" t="n"/>
    </row>
    <row r="18">
      <c r="B18" s="4" t="inlineStr">
        <is>
          <t>LỊCH SỬ THAY ĐỔI</t>
        </is>
      </c>
      <c r="C18" s="29" t="n"/>
      <c r="D18" s="29" t="n"/>
      <c r="E18" s="29" t="n"/>
      <c r="F18" s="29" t="n"/>
      <c r="G18" s="29" t="n"/>
      <c r="H18" s="30" t="n"/>
    </row>
    <row r="19" ht="24" customHeight="1">
      <c r="B19" s="7" t="inlineStr">
        <is>
          <t>Ngày</t>
        </is>
      </c>
      <c r="C19" s="7" t="inlineStr">
        <is>
          <t>Phiên bản</t>
        </is>
      </c>
      <c r="D19" s="7" t="inlineStr">
        <is>
          <t>Loại</t>
        </is>
      </c>
      <c r="E19" s="7" t="inlineStr">
        <is>
          <t>Phạm vi</t>
        </is>
      </c>
      <c r="F19" s="7" t="inlineStr">
        <is>
          <t>Người sửa</t>
        </is>
      </c>
      <c r="G19" s="7" t="inlineStr">
        <is>
          <t>Người duyệt</t>
        </is>
      </c>
      <c r="H19" s="7" t="inlineStr">
        <is>
          <t>Ghi chú</t>
        </is>
      </c>
    </row>
    <row r="20" ht="22" customHeight="1">
      <c r="B20" s="6" t="inlineStr">
        <is>
          <t>30/04/2026</t>
        </is>
      </c>
      <c r="C20" s="6" t="inlineStr">
        <is>
          <t>1.0</t>
        </is>
      </c>
      <c r="D20" s="6" t="inlineStr">
        <is>
          <t>Tạo mới</t>
        </is>
      </c>
      <c r="E20" s="6" t="inlineStr">
        <is>
          <t>Toàn bộ tài liệu</t>
        </is>
      </c>
      <c r="F20" s="6" t="inlineStr">
        <is>
          <t>Công ty Cổ phần Hệ thống Công nghệ ETC</t>
        </is>
      </c>
      <c r="G20" s="6" t="inlineStr">
        <is>
          <t>[CẦN BỔ SUNG]</t>
        </is>
      </c>
      <c r="H20" s="6" t="inlineStr"/>
    </row>
  </sheetData>
  <mergeCells count="11">
    <mergeCell ref="C11:H11"/>
    <mergeCell ref="C16:H16"/>
    <mergeCell ref="B18:H18"/>
    <mergeCell ref="C14:H14"/>
    <mergeCell ref="C13:H13"/>
    <mergeCell ref="C12:H12"/>
    <mergeCell ref="B10:H10"/>
    <mergeCell ref="B7:H7"/>
    <mergeCell ref="B2:H4"/>
    <mergeCell ref="B5:H5"/>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4" customWidth="1" min="1" max="1"/>
    <col width="110" customWidth="1" min="2" max="2"/>
  </cols>
  <sheetData>
    <row r="2">
      <c r="B2" s="8" t="inlineStr">
        <is>
          <t>HƯỚNG DẪN SỬ DỤNG TÀI LIỆU</t>
        </is>
      </c>
    </row>
    <row r="4">
      <c r="B4" s="9" t="inlineStr">
        <is>
          <t>Tài liệu chứa toàn bộ kịch bản kiểm thử (test case) của hệ thống. Tester thực hiện theo các bước, ghi lại kết quả thực tế và liên kết bug nếu phát hiện.</t>
        </is>
      </c>
    </row>
    <row r="5" ht="24" customHeight="1">
      <c r="B5" s="10" t="inlineStr">
        <is>
          <t>Cấu trúc tài liệu</t>
        </is>
      </c>
    </row>
    <row r="6">
      <c r="B6" s="9" t="inlineStr">
        <is>
          <t>• Cover: Thông tin dự án + lịch sử thay đổi tài liệu.</t>
        </is>
      </c>
    </row>
    <row r="7">
      <c r="B7" s="9" t="inlineStr">
        <is>
          <t>• Overview: Phạm vi kiểm thử, môi trường, tiêu chí entry/exit.</t>
        </is>
      </c>
    </row>
    <row r="8">
      <c r="B8" s="9" t="inlineStr">
        <is>
          <t>• Dashboard: Tổng hợp kết quả kiểm thử (auto-update bằng công thức từ các sheet TC).</t>
        </is>
      </c>
    </row>
    <row r="9">
      <c r="B9" s="9" t="inlineStr">
        <is>
          <t>• Tên chức năng: Test case giao diện — tester thao tác qua trình duyệt theo các bước.</t>
        </is>
      </c>
    </row>
    <row r="10">
      <c r="B10" s="9" t="inlineStr">
        <is>
          <t>• Tên API: Test case API — tester gọi endpoint theo specification.</t>
        </is>
      </c>
    </row>
    <row r="11">
      <c r="B11" s="9" t="inlineStr">
        <is>
          <t>• Danh sách lỗi: Danh sách lỗi phát hiện. Mỗi bug có ID, link tới TC, severity, status.</t>
        </is>
      </c>
    </row>
    <row r="12">
      <c r="B12" s="9" t="inlineStr">
        <is>
          <t>• Test Data: Thư viện dữ liệu test (boundary values, fixtures).</t>
        </is>
      </c>
    </row>
    <row r="13">
      <c r="B13" s="9" t="inlineStr">
        <is>
          <t>• Lookups: Danh sách giá trị dropdown (ẩn — không sửa).</t>
        </is>
      </c>
    </row>
    <row r="14" ht="24" customHeight="1">
      <c r="B14" s="10" t="inlineStr">
        <is>
          <t>Quy trình thực hiện</t>
        </is>
      </c>
    </row>
    <row r="15">
      <c r="B15" s="9" t="inlineStr">
        <is>
          <t>Bước 1: Tester đọc Overview → hiểu phạm vi, môi trường.</t>
        </is>
      </c>
    </row>
    <row r="16">
      <c r="B16" s="9" t="inlineStr">
        <is>
          <t>Bước 2: Mở UI/Tên API → chọn TC theo Module/Priority → đọc Tiền điều kiện + Steps.</t>
        </is>
      </c>
    </row>
    <row r="17">
      <c r="B17" s="9" t="inlineStr">
        <is>
          <t>Bước 3: Thực hiện theo Steps, ghi Kết quả thực tế vào cột tương ứng.</t>
        </is>
      </c>
    </row>
    <row r="18">
      <c r="B18" s="9" t="inlineStr">
        <is>
          <t>Bước 4: Chọn Trạng thái: Pass / Fail / Blocked / Skip / Not-Run từ dropdown.</t>
        </is>
      </c>
    </row>
    <row r="19">
      <c r="B19" s="9" t="inlineStr">
        <is>
          <t>Bước 5: Nếu Fail → log vào Danh sách lỗi → ghi Bug ID vào TC, gắn Severity.</t>
        </is>
      </c>
    </row>
    <row r="20">
      <c r="B20" s="9" t="inlineStr">
        <is>
          <t>Bước 6: Hoàn tất 1 cycle → Dashboard tự cập nhật pass rate, defect breakdown.</t>
        </is>
      </c>
    </row>
    <row r="21">
      <c r="B21" s="9" t="inlineStr">
        <is>
          <t>Quy ước Mã TC: Format: TC-{MOD}-{ROLE}-{DIM}-{NNN}. VD: TC-M02-PHAN_CONG-HAPPY-001.</t>
        </is>
      </c>
    </row>
    <row r="22">
      <c r="B22" s="9" t="inlineStr">
        <is>
          <t>Mã ưu tiên (Priority): Rất cao = smoke/auth/security/audit. Cao = validation/RBAC. Trung bình = boundary/alternate. Thấp = cosmetic.</t>
        </is>
      </c>
    </row>
    <row r="23">
      <c r="B23" s="9" t="inlineStr">
        <is>
          <t>Mức nghiêm trọng (Severity): Blocker = hệ thống không dùng được. Major = chức năng chính lỗi. Minor = chức năng phụ. Trivial = cosmetic/typo.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5"/>
  <sheetViews>
    <sheetView showGridLines="0" workbookViewId="0">
      <selection activeCell="A1" sqref="A1"/>
    </sheetView>
  </sheetViews>
  <sheetFormatPr baseColWidth="8" defaultRowHeight="15"/>
  <cols>
    <col width="4" customWidth="1" min="1" max="1"/>
    <col width="28" customWidth="1" min="2" max="2"/>
    <col width="22" customWidth="1" min="3" max="3"/>
    <col width="18" customWidth="1" min="4" max="4"/>
    <col width="18" customWidth="1" min="5" max="5"/>
    <col width="18" customWidth="1" min="6" max="6"/>
    <col width="18" customWidth="1" min="7" max="7"/>
    <col width="18" customWidth="1" min="8" max="8"/>
  </cols>
  <sheetData>
    <row r="2" ht="30" customHeight="1">
      <c r="B2" s="11" t="inlineStr">
        <is>
          <t>TỔNG QUAN KIỂM THỬ</t>
        </is>
      </c>
    </row>
    <row r="4" ht="22" customHeight="1">
      <c r="B4" s="12" t="inlineStr">
        <is>
          <t>Phạm vi kiểm thử</t>
        </is>
      </c>
      <c r="C4" s="6" t="inlineStr">
        <is>
          <t>Ứng dụng di động iOS/Android cho nhân viên vận hành hiện trường tuyến cao tốc Nội Bài – Lào Cai. Cho phép nhân viên nhận nhiệm vụ xử lý sự cố từ Trung tâm điều hành (TMC), liên lạc nội bộ qua VoIP/PBX, cập nhật trạng thái xử lý theo thời gian thực, gửi ảnh/video hiện trường và gọi SOS khẩn cấp qua GSM.</t>
        </is>
      </c>
      <c r="D4" s="29" t="n"/>
      <c r="E4" s="29" t="n"/>
      <c r="F4" s="29" t="n"/>
      <c r="G4" s="29" t="n"/>
      <c r="H4" s="30" t="n"/>
    </row>
    <row r="5" ht="22" customHeight="1">
      <c r="B5" s="12" t="inlineStr">
        <is>
          <t>Đơn vị phát triển</t>
        </is>
      </c>
      <c r="C5" s="6" t="inlineStr">
        <is>
          <t>Công ty Cổ phần Hệ thống Công nghệ ETC</t>
        </is>
      </c>
      <c r="D5" s="29" t="n"/>
      <c r="E5" s="29" t="n"/>
      <c r="F5" s="29" t="n"/>
      <c r="G5" s="29" t="n"/>
      <c r="H5" s="30" t="n"/>
    </row>
    <row r="6" ht="22" customHeight="1">
      <c r="B6" s="12" t="inlineStr">
        <is>
          <t>Khách hàng</t>
        </is>
      </c>
      <c r="C6" s="6" t="inlineStr">
        <is>
          <t>VEC — Tổng công ty đường cao tốc Việt Nam</t>
        </is>
      </c>
      <c r="D6" s="29" t="n"/>
      <c r="E6" s="29" t="n"/>
      <c r="F6" s="29" t="n"/>
      <c r="G6" s="29" t="n"/>
      <c r="H6" s="30" t="n"/>
    </row>
    <row r="7" ht="22" customHeight="1">
      <c r="B7" s="12" t="inlineStr">
        <is>
          <t>Phiên bản hệ thống</t>
        </is>
      </c>
      <c r="C7" s="6" t="inlineStr">
        <is>
          <t>1.0</t>
        </is>
      </c>
      <c r="D7" s="29" t="n"/>
      <c r="E7" s="29" t="n"/>
      <c r="F7" s="29" t="n"/>
      <c r="G7" s="29" t="n"/>
      <c r="H7" s="30" t="n"/>
    </row>
    <row r="8" ht="22" customHeight="1">
      <c r="B8" s="12" t="inlineStr">
        <is>
          <t>Công nghệ</t>
        </is>
      </c>
      <c r="C8" s="6" t="inlineStr">
        <is>
          <t>React Native (iOS + Android) | React 18 + Vite 5 (prototype) | SIP/VoIP | FCM/APNs | REST API</t>
        </is>
      </c>
      <c r="D8" s="29" t="n"/>
      <c r="E8" s="29" t="n"/>
      <c r="F8" s="29" t="n"/>
      <c r="G8" s="29" t="n"/>
      <c r="H8" s="30" t="n"/>
    </row>
    <row r="9" ht="22" customHeight="1">
      <c r="B9" s="12" t="inlineStr">
        <is>
          <t>Môi trường kiểm thử</t>
        </is>
      </c>
      <c r="C9" s="6" t="inlineStr">
        <is>
          <t>Web (Chrome/Edge/Firefox), backend localhost Docker</t>
        </is>
      </c>
      <c r="D9" s="29" t="n"/>
      <c r="E9" s="29" t="n"/>
      <c r="F9" s="29" t="n"/>
      <c r="G9" s="29" t="n"/>
      <c r="H9" s="30" t="n"/>
    </row>
    <row r="10" ht="22" customHeight="1">
      <c r="B10" s="12" t="inlineStr">
        <is>
          <t>Thời gian kiểm thử</t>
        </is>
      </c>
      <c r="C10" s="6" t="inlineStr">
        <is>
          <t>Tháng 05/2026</t>
        </is>
      </c>
      <c r="D10" s="29" t="n"/>
      <c r="E10" s="29" t="n"/>
      <c r="F10" s="29" t="n"/>
      <c r="G10" s="29" t="n"/>
      <c r="H10" s="30" t="n"/>
    </row>
    <row r="11" ht="22" customHeight="1">
      <c r="B11" s="12" t="inlineStr">
        <is>
          <t>Tester chính</t>
        </is>
      </c>
      <c r="C11" s="6" t="inlineStr">
        <is>
          <t>[Tester chính]</t>
        </is>
      </c>
      <c r="D11" s="29" t="n"/>
      <c r="E11" s="29" t="n"/>
      <c r="F11" s="29" t="n"/>
      <c r="G11" s="29" t="n"/>
      <c r="H11" s="30" t="n"/>
    </row>
    <row r="12" ht="36" customHeight="1">
      <c r="B12" s="12" t="inlineStr">
        <is>
          <t>Tiêu chí Entry</t>
        </is>
      </c>
      <c r="C12" s="6" t="inlineStr">
        <is>
          <t>Hệ thống đã build + deploy lên môi trường test; có test data đầy đủ; tester đã được training.</t>
        </is>
      </c>
      <c r="D12" s="29" t="n"/>
      <c r="E12" s="29" t="n"/>
      <c r="F12" s="29" t="n"/>
      <c r="G12" s="29" t="n"/>
      <c r="H12" s="30" t="n"/>
    </row>
    <row r="13" ht="36" customHeight="1">
      <c r="B13" s="12" t="inlineStr">
        <is>
          <t>Tiêu chí Exit</t>
        </is>
      </c>
      <c r="C13" s="6" t="inlineStr">
        <is>
          <t>100% TC priority Rất cao + Cao đã thực hiện; pass rate ≥ 95%; không còn defect Blocker/Major mở.</t>
        </is>
      </c>
      <c r="D13" s="29" t="n"/>
      <c r="E13" s="29" t="n"/>
      <c r="F13" s="29" t="n"/>
      <c r="G13" s="29" t="n"/>
      <c r="H13" s="30" t="n"/>
    </row>
    <row r="14" ht="36" customHeight="1">
      <c r="B14" s="12" t="inlineStr">
        <is>
          <t>Test technique áp dụng</t>
        </is>
      </c>
      <c r="C14" s="6" t="inlineStr">
        <is>
          <t>ISTQB: Equivalence Partition, Boundary Value Analysis, Decision Table, State Transition, Error Guessing.</t>
        </is>
      </c>
      <c r="D14" s="29" t="n"/>
      <c r="E14" s="29" t="n"/>
      <c r="F14" s="29" t="n"/>
      <c r="G14" s="29" t="n"/>
      <c r="H14" s="30" t="n"/>
    </row>
    <row r="15" ht="22" customHeight="1">
      <c r="B15" s="12" t="inlineStr">
        <is>
          <t>Tham chiếu</t>
        </is>
      </c>
      <c r="C15" s="6" t="inlineStr">
        <is>
          <t>TKCS, TKCT, HDSD của hệ thống. Acceptance criteria nằm trong feature-catalog.json.</t>
        </is>
      </c>
      <c r="D15" s="29" t="n"/>
      <c r="E15" s="29" t="n"/>
      <c r="F15" s="29" t="n"/>
      <c r="G15" s="29" t="n"/>
      <c r="H15" s="30" t="n"/>
    </row>
  </sheetData>
  <mergeCells count="13">
    <mergeCell ref="C11:H11"/>
    <mergeCell ref="C6:H6"/>
    <mergeCell ref="C10:H10"/>
    <mergeCell ref="C14:H14"/>
    <mergeCell ref="C5:H5"/>
    <mergeCell ref="C13:H13"/>
    <mergeCell ref="C9:H9"/>
    <mergeCell ref="B2:H2"/>
    <mergeCell ref="C8:H8"/>
    <mergeCell ref="C4:H4"/>
    <mergeCell ref="C12:H12"/>
    <mergeCell ref="C7:H7"/>
    <mergeCell ref="C15:H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46"/>
  <sheetViews>
    <sheetView showGridLines="0" workbookViewId="0">
      <selection activeCell="A1" sqref="A1"/>
    </sheetView>
  </sheetViews>
  <sheetFormatPr baseColWidth="8" defaultRowHeight="15"/>
  <cols>
    <col width="4" customWidth="1" min="1" max="1"/>
    <col width="2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2" ht="32" customHeight="1">
      <c r="B2" s="13" t="inlineStr">
        <is>
          <t>BẢNG TỔNG HỢP KẾT QUẢ KIỂM THỬ</t>
        </is>
      </c>
      <c r="C2" s="29" t="n"/>
      <c r="D2" s="29" t="n"/>
      <c r="E2" s="29" t="n"/>
      <c r="F2" s="29" t="n"/>
      <c r="G2" s="29" t="n"/>
      <c r="H2" s="29" t="n"/>
      <c r="I2" s="29" t="n"/>
      <c r="J2" s="30" t="n"/>
    </row>
    <row r="4">
      <c r="B4" s="4" t="inlineStr">
        <is>
          <t>1. KẾT QUẢ TỔNG</t>
        </is>
      </c>
      <c r="C4" s="29" t="n"/>
      <c r="D4" s="29" t="n"/>
      <c r="E4" s="29" t="n"/>
      <c r="F4" s="29" t="n"/>
      <c r="G4" s="29" t="n"/>
      <c r="H4" s="29" t="n"/>
      <c r="I4" s="29" t="n"/>
      <c r="J4" s="30" t="n"/>
    </row>
    <row r="5" ht="28" customHeight="1">
      <c r="B5" s="7" t="inlineStr">
        <is>
          <t>Phạm vi</t>
        </is>
      </c>
      <c r="C5" s="7" t="inlineStr">
        <is>
          <t>Tổng TC</t>
        </is>
      </c>
      <c r="D5" s="7" t="inlineStr">
        <is>
          <t>Pass</t>
        </is>
      </c>
      <c r="E5" s="7" t="inlineStr">
        <is>
          <t>Fail</t>
        </is>
      </c>
      <c r="F5" s="7" t="inlineStr">
        <is>
          <t>Blocked</t>
        </is>
      </c>
      <c r="G5" s="7" t="inlineStr">
        <is>
          <t>Skip</t>
        </is>
      </c>
      <c r="H5" s="7" t="inlineStr">
        <is>
          <t>Not-Run</t>
        </is>
      </c>
      <c r="I5" s="7" t="inlineStr">
        <is>
          <t>Pass rate</t>
        </is>
      </c>
      <c r="J5" s="7" t="inlineStr">
        <is>
          <t>Tỷ lệ thực hiện</t>
        </is>
      </c>
    </row>
    <row r="6" ht="22" customHeight="1">
      <c r="B6" s="14" t="inlineStr">
        <is>
          <t>Tên chức năng</t>
        </is>
      </c>
      <c r="C6" s="15">
        <f>COUNTA('Tên chức năng'!A13:A1000)</f>
        <v/>
      </c>
      <c r="D6" s="15">
        <f>COUNTIF('Tên chức năng'!I13:I1000,"Pass")+COUNTIF('Tên chức năng'!K13:K1000,"Pass")</f>
        <v/>
      </c>
      <c r="E6" s="15">
        <f>COUNTIF('Tên chức năng'!I13:I1000,"Fail")+COUNTIF('Tên chức năng'!K13:K1000,"Fail")</f>
        <v/>
      </c>
      <c r="F6" s="15">
        <f>COUNTIF('Tên chức năng'!I13:I1000,"Blocked")+COUNTIF('Tên chức năng'!K13:K1000,"Blocked")</f>
        <v/>
      </c>
      <c r="G6" s="15">
        <f>COUNTIF('Tên chức năng'!I13:I1000,"Skip")+COUNTIF('Tên chức năng'!K13:K1000,"Skip")</f>
        <v/>
      </c>
      <c r="H6" s="15">
        <f>C6-D6-E6-F6-G6</f>
        <v/>
      </c>
      <c r="I6" s="16">
        <f>IFERROR(D6/(D6+E6),0)</f>
        <v/>
      </c>
      <c r="J6" s="16">
        <f>IFERROR((D6+E6+F6+G6)/C6,0)</f>
        <v/>
      </c>
    </row>
    <row r="7" ht="22" customHeight="1">
      <c r="B7" s="14" t="inlineStr">
        <is>
          <t>Tên API</t>
        </is>
      </c>
      <c r="C7" s="15">
        <f>COUNTA('Tên API'!A13:A1000)</f>
        <v/>
      </c>
      <c r="D7" s="15">
        <f>COUNTIF('Tên API'!I13:I1000,"Pass")+COUNTIF('Tên API'!K13:K1000,"Pass")</f>
        <v/>
      </c>
      <c r="E7" s="15">
        <f>COUNTIF('Tên API'!I13:I1000,"Fail")+COUNTIF('Tên API'!K13:K1000,"Fail")</f>
        <v/>
      </c>
      <c r="F7" s="15">
        <f>COUNTIF('Tên API'!I13:I1000,"Blocked")+COUNTIF('Tên API'!K13:K1000,"Blocked")</f>
        <v/>
      </c>
      <c r="G7" s="15">
        <f>COUNTIF('Tên API'!I13:I1000,"Skip")+COUNTIF('Tên API'!K13:K1000,"Skip")</f>
        <v/>
      </c>
      <c r="H7" s="15">
        <f>C7-D7-E7-F7-G7</f>
        <v/>
      </c>
      <c r="I7" s="16">
        <f>IFERROR(D7/(D7+E7),0)</f>
        <v/>
      </c>
      <c r="J7" s="16">
        <f>IFERROR((D7+E7+F7+G7)/C7,0)</f>
        <v/>
      </c>
    </row>
    <row r="8" ht="22" customHeight="1">
      <c r="B8" s="17" t="inlineStr">
        <is>
          <t>TỔNG</t>
        </is>
      </c>
      <c r="C8" s="18">
        <f>SUM(C6:C7)</f>
        <v/>
      </c>
      <c r="D8" s="18">
        <f>SUM(D6:D7)</f>
        <v/>
      </c>
      <c r="E8" s="18">
        <f>SUM(E6:E7)</f>
        <v/>
      </c>
      <c r="F8" s="18">
        <f>SUM(F6:F7)</f>
        <v/>
      </c>
      <c r="G8" s="18">
        <f>SUM(G6:G7)</f>
        <v/>
      </c>
      <c r="H8" s="18">
        <f>SUM(H6:H7)</f>
        <v/>
      </c>
      <c r="I8" s="19">
        <f>IFERROR(D8/(D8+E8),0)</f>
        <v/>
      </c>
      <c r="J8" s="19">
        <f>IFERROR((D8+E8+F8+G8)/C8,0)</f>
        <v/>
      </c>
    </row>
    <row r="11">
      <c r="B11" s="4" t="inlineStr">
        <is>
          <t>2. KẾT QUẢ THEO MỨC ƯU TIÊN</t>
        </is>
      </c>
      <c r="C11" s="29" t="n"/>
      <c r="D11" s="29" t="n"/>
      <c r="E11" s="29" t="n"/>
      <c r="F11" s="29" t="n"/>
      <c r="G11" s="29" t="n"/>
      <c r="H11" s="29" t="n"/>
      <c r="I11" s="29" t="n"/>
      <c r="J11" s="30" t="n"/>
    </row>
    <row r="12">
      <c r="B12" s="7" t="inlineStr">
        <is>
          <t>Mức ưu tiên</t>
        </is>
      </c>
      <c r="C12" s="7" t="inlineStr">
        <is>
          <t>Tổng TC</t>
        </is>
      </c>
      <c r="D12" s="7" t="inlineStr">
        <is>
          <t>Pass</t>
        </is>
      </c>
      <c r="E12" s="7" t="inlineStr">
        <is>
          <t>Fail</t>
        </is>
      </c>
      <c r="F12" s="7" t="inlineStr">
        <is>
          <t>Blocked</t>
        </is>
      </c>
      <c r="G12" s="7" t="inlineStr">
        <is>
          <t>Pass rate</t>
        </is>
      </c>
    </row>
    <row r="13">
      <c r="B13" s="14" t="inlineStr">
        <is>
          <t>Rất cao</t>
        </is>
      </c>
      <c r="C13" s="15">
        <f>COUNTIF('Tên chức năng'!C13:C1000,"Rất cao")+COUNTIF('Tên API'!C13:C1000,"Rất cao")</f>
        <v/>
      </c>
      <c r="D13" s="15">
        <f>COUNTIFS('Tên chức năng'!C13:C1000,"Rất cao",'Tên chức năng'!I13:I1000,"Pass")+COUNTIFS('Tên API'!C13:C1000,"Rất cao",'Tên API'!I13:I1000,"Pass")</f>
        <v/>
      </c>
      <c r="E13" s="15">
        <f>COUNTIFS('Tên chức năng'!C13:C1000,"Rất cao",'Tên chức năng'!I13:I1000,"Fail")+COUNTIFS('Tên API'!C13:C1000,"Rất cao",'Tên API'!I13:I1000,"Fail")</f>
        <v/>
      </c>
      <c r="F13" s="15">
        <f>COUNTIFS('Tên chức năng'!C13:C1000,"Rất cao",'Tên chức năng'!I13:I1000,"Blocked")+COUNTIFS('Tên API'!C13:C1000,"Rất cao",'Tên API'!I13:I1000,"Blocked")</f>
        <v/>
      </c>
      <c r="G13" s="16">
        <f>IFERROR(D13/(D13+E13),0)</f>
        <v/>
      </c>
    </row>
    <row r="14">
      <c r="B14" s="14" t="inlineStr">
        <is>
          <t>Cao</t>
        </is>
      </c>
      <c r="C14" s="15">
        <f>COUNTIF('Tên chức năng'!C13:C1000,"Cao")+COUNTIF('Tên API'!C13:C1000,"Cao")</f>
        <v/>
      </c>
      <c r="D14" s="15">
        <f>COUNTIFS('Tên chức năng'!C13:C1000,"Cao",'Tên chức năng'!I13:I1000,"Pass")+COUNTIFS('Tên API'!C13:C1000,"Cao",'Tên API'!I13:I1000,"Pass")</f>
        <v/>
      </c>
      <c r="E14" s="15">
        <f>COUNTIFS('Tên chức năng'!C13:C1000,"Cao",'Tên chức năng'!I13:I1000,"Fail")+COUNTIFS('Tên API'!C13:C1000,"Cao",'Tên API'!I13:I1000,"Fail")</f>
        <v/>
      </c>
      <c r="F14" s="15">
        <f>COUNTIFS('Tên chức năng'!C13:C1000,"Cao",'Tên chức năng'!I13:I1000,"Blocked")+COUNTIFS('Tên API'!C13:C1000,"Cao",'Tên API'!I13:I1000,"Blocked")</f>
        <v/>
      </c>
      <c r="G14" s="16">
        <f>IFERROR(D14/(D14+E14),0)</f>
        <v/>
      </c>
    </row>
    <row r="15">
      <c r="B15" s="14" t="inlineStr">
        <is>
          <t>Trung bình</t>
        </is>
      </c>
      <c r="C15" s="15">
        <f>COUNTIF('Tên chức năng'!C13:C1000,"Trung bình")+COUNTIF('Tên API'!C13:C1000,"Trung bình")</f>
        <v/>
      </c>
      <c r="D15" s="15">
        <f>COUNTIFS('Tên chức năng'!C13:C1000,"Trung bình",'Tên chức năng'!I13:I1000,"Pass")+COUNTIFS('Tên API'!C13:C1000,"Trung bình",'Tên API'!I13:I1000,"Pass")</f>
        <v/>
      </c>
      <c r="E15" s="15">
        <f>COUNTIFS('Tên chức năng'!C13:C1000,"Trung bình",'Tên chức năng'!I13:I1000,"Fail")+COUNTIFS('Tên API'!C13:C1000,"Trung bình",'Tên API'!I13:I1000,"Fail")</f>
        <v/>
      </c>
      <c r="F15" s="15">
        <f>COUNTIFS('Tên chức năng'!C13:C1000,"Trung bình",'Tên chức năng'!I13:I1000,"Blocked")+COUNTIFS('Tên API'!C13:C1000,"Trung bình",'Tên API'!I13:I1000,"Blocked")</f>
        <v/>
      </c>
      <c r="G15" s="16">
        <f>IFERROR(D15/(D15+E15),0)</f>
        <v/>
      </c>
    </row>
    <row r="16">
      <c r="B16" s="14" t="inlineStr">
        <is>
          <t>Thấp</t>
        </is>
      </c>
      <c r="C16" s="15">
        <f>COUNTIF('Tên chức năng'!C13:C1000,"Thấp")+COUNTIF('Tên API'!C13:C1000,"Thấp")</f>
        <v/>
      </c>
      <c r="D16" s="15">
        <f>COUNTIFS('Tên chức năng'!C13:C1000,"Thấp",'Tên chức năng'!I13:I1000,"Pass")+COUNTIFS('Tên API'!C13:C1000,"Thấp",'Tên API'!I13:I1000,"Pass")</f>
        <v/>
      </c>
      <c r="E16" s="15">
        <f>COUNTIFS('Tên chức năng'!C13:C1000,"Thấp",'Tên chức năng'!I13:I1000,"Fail")+COUNTIFS('Tên API'!C13:C1000,"Thấp",'Tên API'!I13:I1000,"Fail")</f>
        <v/>
      </c>
      <c r="F16" s="15">
        <f>COUNTIFS('Tên chức năng'!C13:C1000,"Thấp",'Tên chức năng'!I13:I1000,"Blocked")+COUNTIFS('Tên API'!C13:C1000,"Thấp",'Tên API'!I13:I1000,"Blocked")</f>
        <v/>
      </c>
      <c r="G16" s="16">
        <f>IFERROR(D16/(D16+E16),0)</f>
        <v/>
      </c>
    </row>
    <row r="19">
      <c r="B19" s="4" t="inlineStr">
        <is>
          <t>3. PHÂN LOẠI LỖI</t>
        </is>
      </c>
      <c r="C19" s="29" t="n"/>
      <c r="D19" s="29" t="n"/>
      <c r="E19" s="29" t="n"/>
      <c r="F19" s="29" t="n"/>
      <c r="G19" s="29" t="n"/>
      <c r="H19" s="29" t="n"/>
      <c r="I19" s="29" t="n"/>
      <c r="J19" s="30" t="n"/>
    </row>
    <row r="20" ht="24" customHeight="1">
      <c r="B20" s="7" t="inlineStr">
        <is>
          <t>Trạng thái lỗi</t>
        </is>
      </c>
      <c r="C20" s="7" t="inlineStr">
        <is>
          <t>Phân loại lỗi theo severity</t>
        </is>
      </c>
      <c r="D20" s="29" t="n"/>
      <c r="E20" s="29" t="n"/>
      <c r="F20" s="30" t="n"/>
      <c r="G20" s="7" t="inlineStr">
        <is>
          <t>Tổng</t>
        </is>
      </c>
    </row>
    <row r="21" ht="22" customHeight="1">
      <c r="B21" s="20" t="inlineStr"/>
      <c r="C21" s="20" t="inlineStr">
        <is>
          <t>Blocker</t>
        </is>
      </c>
      <c r="D21" s="20" t="inlineStr">
        <is>
          <t>Major</t>
        </is>
      </c>
      <c r="E21" s="20" t="inlineStr">
        <is>
          <t>Minor</t>
        </is>
      </c>
      <c r="F21" s="20" t="inlineStr">
        <is>
          <t>Trivial</t>
        </is>
      </c>
      <c r="G21" s="20" t="inlineStr"/>
    </row>
    <row r="22">
      <c r="B22" s="21" t="inlineStr">
        <is>
          <t>Open</t>
        </is>
      </c>
      <c r="C22" s="15">
        <f>COUNTIFS('Tên chức năng'!I13:I1000,"Fail",'Tên chức năng'!D13:D1000,"Blocker",'Tên chức năng'!J13:J1000,"Open")+COUNTIFS('Tên chức năng'!K13:K1000,"Fail",'Tên chức năng'!D13:D1000,"Blocker",'Tên chức năng'!L13:L1000,"Open")+COUNTIFS('Tên API'!I13:I1000,"Fail",'Tên API'!D13:D1000,"Blocker",'Tên API'!J13:J1000,"Open")+COUNTIFS('Tên API'!K13:K1000,"Fail",'Tên API'!D13:D1000,"Blocker",'Tên API'!L13:L1000,"Open")</f>
        <v/>
      </c>
      <c r="D22" s="15">
        <f>COUNTIFS('Tên chức năng'!I13:I1000,"Fail",'Tên chức năng'!D13:D1000,"Major",'Tên chức năng'!J13:J1000,"Open")+COUNTIFS('Tên chức năng'!K13:K1000,"Fail",'Tên chức năng'!D13:D1000,"Major",'Tên chức năng'!L13:L1000,"Open")+COUNTIFS('Tên API'!I13:I1000,"Fail",'Tên API'!D13:D1000,"Major",'Tên API'!J13:J1000,"Open")+COUNTIFS('Tên API'!K13:K1000,"Fail",'Tên API'!D13:D1000,"Major",'Tên API'!L13:L1000,"Open")</f>
        <v/>
      </c>
      <c r="E22" s="15">
        <f>COUNTIFS('Tên chức năng'!I13:I1000,"Fail",'Tên chức năng'!D13:D1000,"Minor",'Tên chức năng'!J13:J1000,"Open")+COUNTIFS('Tên chức năng'!K13:K1000,"Fail",'Tên chức năng'!D13:D1000,"Minor",'Tên chức năng'!L13:L1000,"Open")+COUNTIFS('Tên API'!I13:I1000,"Fail",'Tên API'!D13:D1000,"Minor",'Tên API'!J13:J1000,"Open")+COUNTIFS('Tên API'!K13:K1000,"Fail",'Tên API'!D13:D1000,"Minor",'Tên API'!L13:L1000,"Open")</f>
        <v/>
      </c>
      <c r="F22" s="15">
        <f>COUNTIFS('Tên chức năng'!I13:I1000,"Fail",'Tên chức năng'!D13:D1000,"Trivial",'Tên chức năng'!J13:J1000,"Open")+COUNTIFS('Tên chức năng'!K13:K1000,"Fail",'Tên chức năng'!D13:D1000,"Trivial",'Tên chức năng'!L13:L1000,"Open")+COUNTIFS('Tên API'!I13:I1000,"Fail",'Tên API'!D13:D1000,"Trivial",'Tên API'!J13:J1000,"Open")+COUNTIFS('Tên API'!K13:K1000,"Fail",'Tên API'!D13:D1000,"Trivial",'Tên API'!L13:L1000,"Open")</f>
        <v/>
      </c>
      <c r="G22" s="22">
        <f>SUM(C22:F22)</f>
        <v/>
      </c>
    </row>
    <row r="23">
      <c r="B23" s="21" t="inlineStr">
        <is>
          <t>In-Progress</t>
        </is>
      </c>
      <c r="C23" s="15">
        <f>COUNTIFS('Tên chức năng'!I13:I1000,"Fail",'Tên chức năng'!D13:D1000,"Blocker",'Tên chức năng'!J13:J1000,"In-Progress")+COUNTIFS('Tên chức năng'!K13:K1000,"Fail",'Tên chức năng'!D13:D1000,"Blocker",'Tên chức năng'!L13:L1000,"In-Progress")+COUNTIFS('Tên API'!I13:I1000,"Fail",'Tên API'!D13:D1000,"Blocker",'Tên API'!J13:J1000,"In-Progress")+COUNTIFS('Tên API'!K13:K1000,"Fail",'Tên API'!D13:D1000,"Blocker",'Tên API'!L13:L1000,"In-Progress")</f>
        <v/>
      </c>
      <c r="D23" s="15">
        <f>COUNTIFS('Tên chức năng'!I13:I1000,"Fail",'Tên chức năng'!D13:D1000,"Major",'Tên chức năng'!J13:J1000,"In-Progress")+COUNTIFS('Tên chức năng'!K13:K1000,"Fail",'Tên chức năng'!D13:D1000,"Major",'Tên chức năng'!L13:L1000,"In-Progress")+COUNTIFS('Tên API'!I13:I1000,"Fail",'Tên API'!D13:D1000,"Major",'Tên API'!J13:J1000,"In-Progress")+COUNTIFS('Tên API'!K13:K1000,"Fail",'Tên API'!D13:D1000,"Major",'Tên API'!L13:L1000,"In-Progress")</f>
        <v/>
      </c>
      <c r="E23" s="15">
        <f>COUNTIFS('Tên chức năng'!I13:I1000,"Fail",'Tên chức năng'!D13:D1000,"Minor",'Tên chức năng'!J13:J1000,"In-Progress")+COUNTIFS('Tên chức năng'!K13:K1000,"Fail",'Tên chức năng'!D13:D1000,"Minor",'Tên chức năng'!L13:L1000,"In-Progress")+COUNTIFS('Tên API'!I13:I1000,"Fail",'Tên API'!D13:D1000,"Minor",'Tên API'!J13:J1000,"In-Progress")+COUNTIFS('Tên API'!K13:K1000,"Fail",'Tên API'!D13:D1000,"Minor",'Tên API'!L13:L1000,"In-Progress")</f>
        <v/>
      </c>
      <c r="F23" s="15">
        <f>COUNTIFS('Tên chức năng'!I13:I1000,"Fail",'Tên chức năng'!D13:D1000,"Trivial",'Tên chức năng'!J13:J1000,"In-Progress")+COUNTIFS('Tên chức năng'!K13:K1000,"Fail",'Tên chức năng'!D13:D1000,"Trivial",'Tên chức năng'!L13:L1000,"In-Progress")+COUNTIFS('Tên API'!I13:I1000,"Fail",'Tên API'!D13:D1000,"Trivial",'Tên API'!J13:J1000,"In-Progress")+COUNTIFS('Tên API'!K13:K1000,"Fail",'Tên API'!D13:D1000,"Trivial",'Tên API'!L13:L1000,"In-Progress")</f>
        <v/>
      </c>
      <c r="G23" s="22">
        <f>SUM(C23:F23)</f>
        <v/>
      </c>
    </row>
    <row r="24">
      <c r="B24" s="21" t="inlineStr">
        <is>
          <t>Closed</t>
        </is>
      </c>
      <c r="C24" s="15">
        <f>COUNTIFS('Tên chức năng'!I13:I1000,"Fail",'Tên chức năng'!D13:D1000,"Blocker",'Tên chức năng'!J13:J1000,"Closed")+COUNTIFS('Tên chức năng'!K13:K1000,"Fail",'Tên chức năng'!D13:D1000,"Blocker",'Tên chức năng'!L13:L1000,"Closed")+COUNTIFS('Tên API'!I13:I1000,"Fail",'Tên API'!D13:D1000,"Blocker",'Tên API'!J13:J1000,"Closed")+COUNTIFS('Tên API'!K13:K1000,"Fail",'Tên API'!D13:D1000,"Blocker",'Tên API'!L13:L1000,"Closed")</f>
        <v/>
      </c>
      <c r="D24" s="15">
        <f>COUNTIFS('Tên chức năng'!I13:I1000,"Fail",'Tên chức năng'!D13:D1000,"Major",'Tên chức năng'!J13:J1000,"Closed")+COUNTIFS('Tên chức năng'!K13:K1000,"Fail",'Tên chức năng'!D13:D1000,"Major",'Tên chức năng'!L13:L1000,"Closed")+COUNTIFS('Tên API'!I13:I1000,"Fail",'Tên API'!D13:D1000,"Major",'Tên API'!J13:J1000,"Closed")+COUNTIFS('Tên API'!K13:K1000,"Fail",'Tên API'!D13:D1000,"Major",'Tên API'!L13:L1000,"Closed")</f>
        <v/>
      </c>
      <c r="E24" s="15">
        <f>COUNTIFS('Tên chức năng'!I13:I1000,"Fail",'Tên chức năng'!D13:D1000,"Minor",'Tên chức năng'!J13:J1000,"Closed")+COUNTIFS('Tên chức năng'!K13:K1000,"Fail",'Tên chức năng'!D13:D1000,"Minor",'Tên chức năng'!L13:L1000,"Closed")+COUNTIFS('Tên API'!I13:I1000,"Fail",'Tên API'!D13:D1000,"Minor",'Tên API'!J13:J1000,"Closed")+COUNTIFS('Tên API'!K13:K1000,"Fail",'Tên API'!D13:D1000,"Minor",'Tên API'!L13:L1000,"Closed")</f>
        <v/>
      </c>
      <c r="F24" s="15">
        <f>COUNTIFS('Tên chức năng'!I13:I1000,"Fail",'Tên chức năng'!D13:D1000,"Trivial",'Tên chức năng'!J13:J1000,"Closed")+COUNTIFS('Tên chức năng'!K13:K1000,"Fail",'Tên chức năng'!D13:D1000,"Trivial",'Tên chức năng'!L13:L1000,"Closed")+COUNTIFS('Tên API'!I13:I1000,"Fail",'Tên API'!D13:D1000,"Trivial",'Tên API'!J13:J1000,"Closed")+COUNTIFS('Tên API'!K13:K1000,"Fail",'Tên API'!D13:D1000,"Trivial",'Tên API'!L13:L1000,"Closed")</f>
        <v/>
      </c>
      <c r="G24" s="22">
        <f>SUM(C24:F24)</f>
        <v/>
      </c>
    </row>
    <row r="25">
      <c r="B25" s="21" t="inlineStr">
        <is>
          <t>Resolved</t>
        </is>
      </c>
      <c r="C25" s="15">
        <f>COUNTIFS('Tên chức năng'!I13:I1000,"Fail",'Tên chức năng'!D13:D1000,"Blocker",'Tên chức năng'!J13:J1000,"Resolved")+COUNTIFS('Tên chức năng'!K13:K1000,"Fail",'Tên chức năng'!D13:D1000,"Blocker",'Tên chức năng'!L13:L1000,"Resolved")+COUNTIFS('Tên API'!I13:I1000,"Fail",'Tên API'!D13:D1000,"Blocker",'Tên API'!J13:J1000,"Resolved")+COUNTIFS('Tên API'!K13:K1000,"Fail",'Tên API'!D13:D1000,"Blocker",'Tên API'!L13:L1000,"Resolved")</f>
        <v/>
      </c>
      <c r="D25" s="15">
        <f>COUNTIFS('Tên chức năng'!I13:I1000,"Fail",'Tên chức năng'!D13:D1000,"Major",'Tên chức năng'!J13:J1000,"Resolved")+COUNTIFS('Tên chức năng'!K13:K1000,"Fail",'Tên chức năng'!D13:D1000,"Major",'Tên chức năng'!L13:L1000,"Resolved")+COUNTIFS('Tên API'!I13:I1000,"Fail",'Tên API'!D13:D1000,"Major",'Tên API'!J13:J1000,"Resolved")+COUNTIFS('Tên API'!K13:K1000,"Fail",'Tên API'!D13:D1000,"Major",'Tên API'!L13:L1000,"Resolved")</f>
        <v/>
      </c>
      <c r="E25" s="15">
        <f>COUNTIFS('Tên chức năng'!I13:I1000,"Fail",'Tên chức năng'!D13:D1000,"Minor",'Tên chức năng'!J13:J1000,"Resolved")+COUNTIFS('Tên chức năng'!K13:K1000,"Fail",'Tên chức năng'!D13:D1000,"Minor",'Tên chức năng'!L13:L1000,"Resolved")+COUNTIFS('Tên API'!I13:I1000,"Fail",'Tên API'!D13:D1000,"Minor",'Tên API'!J13:J1000,"Resolved")+COUNTIFS('Tên API'!K13:K1000,"Fail",'Tên API'!D13:D1000,"Minor",'Tên API'!L13:L1000,"Resolved")</f>
        <v/>
      </c>
      <c r="F25" s="15">
        <f>COUNTIFS('Tên chức năng'!I13:I1000,"Fail",'Tên chức năng'!D13:D1000,"Trivial",'Tên chức năng'!J13:J1000,"Resolved")+COUNTIFS('Tên chức năng'!K13:K1000,"Fail",'Tên chức năng'!D13:D1000,"Trivial",'Tên chức năng'!L13:L1000,"Resolved")+COUNTIFS('Tên API'!I13:I1000,"Fail",'Tên API'!D13:D1000,"Trivial",'Tên API'!J13:J1000,"Resolved")+COUNTIFS('Tên API'!K13:K1000,"Fail",'Tên API'!D13:D1000,"Trivial",'Tên API'!L13:L1000,"Resolved")</f>
        <v/>
      </c>
      <c r="G25" s="22">
        <f>SUM(C25:F25)</f>
        <v/>
      </c>
    </row>
    <row r="26" ht="24" customHeight="1">
      <c r="B26" s="23" t="inlineStr">
        <is>
          <t>Mọi trạng thái</t>
        </is>
      </c>
      <c r="C26" s="18">
        <f>SUM(C22:C25)</f>
        <v/>
      </c>
      <c r="D26" s="18">
        <f>SUM(D22:D25)</f>
        <v/>
      </c>
      <c r="E26" s="18">
        <f>SUM(E22:E25)</f>
        <v/>
      </c>
      <c r="F26" s="18">
        <f>SUM(F22:F25)</f>
        <v/>
      </c>
      <c r="G26" s="18">
        <f>SUM(C26:F26)</f>
        <v/>
      </c>
    </row>
    <row r="28">
      <c r="B28" s="4" t="inlineStr">
        <is>
          <t>4. KẾT QUẢ THEO PHÂN HỆ (MODULE)</t>
        </is>
      </c>
      <c r="C28" s="29" t="n"/>
      <c r="D28" s="29" t="n"/>
      <c r="E28" s="29" t="n"/>
      <c r="F28" s="29" t="n"/>
      <c r="G28" s="29" t="n"/>
      <c r="H28" s="29" t="n"/>
      <c r="I28" s="29" t="n"/>
      <c r="J28" s="30" t="n"/>
    </row>
    <row r="29">
      <c r="B29" s="7" t="inlineStr">
        <is>
          <t>Phân hệ</t>
        </is>
      </c>
      <c r="C29" s="7" t="inlineStr">
        <is>
          <t>Tổng TC</t>
        </is>
      </c>
      <c r="D29" s="7" t="inlineStr">
        <is>
          <t>Pass</t>
        </is>
      </c>
      <c r="E29" s="7" t="inlineStr">
        <is>
          <t>Fail</t>
        </is>
      </c>
      <c r="F29" s="7" t="inlineStr">
        <is>
          <t>Blocked</t>
        </is>
      </c>
      <c r="G29" s="7" t="inlineStr">
        <is>
          <t>Pass rate</t>
        </is>
      </c>
    </row>
    <row r="30">
      <c r="B30" s="14" t="inlineStr">
        <is>
          <t>m01</t>
        </is>
      </c>
      <c r="C30" s="15">
        <f>COUNTIF('Tên chức năng'!B13:B1000,"[m01]*")+COUNTIF('Tên API'!B13:B1000,"[m01]*")</f>
        <v/>
      </c>
      <c r="D30" s="15">
        <f>COUNTIFS('Tên chức năng'!B13:B1000,"[m01]*",'Tên chức năng'!I13:I1000,"Pass")+COUNTIFS('Tên API'!B13:B1000,"[m01]*",'Tên API'!I13:I1000,"Pass")</f>
        <v/>
      </c>
      <c r="E30" s="15">
        <f>COUNTIFS('Tên chức năng'!B13:B1000,"[m01]*",'Tên chức năng'!I13:I1000,"Fail")+COUNTIFS('Tên API'!B13:B1000,"[m01]*",'Tên API'!I13:I1000,"Fail")</f>
        <v/>
      </c>
      <c r="F30" s="15">
        <f>COUNTIFS('Tên chức năng'!B13:B1000,"[m01]*",'Tên chức năng'!I13:I1000,"Blocked")+COUNTIFS('Tên API'!B13:B1000,"[m01]*",'Tên API'!I13:I1000,"Blocked")</f>
        <v/>
      </c>
      <c r="G30" s="16">
        <f>IFERROR(D30/(D30+E30),0)</f>
        <v/>
      </c>
    </row>
    <row r="31">
      <c r="B31" s="14" t="inlineStr">
        <is>
          <t>m02</t>
        </is>
      </c>
      <c r="C31" s="15">
        <f>COUNTIF('Tên chức năng'!B13:B1000,"[m02]*")+COUNTIF('Tên API'!B13:B1000,"[m02]*")</f>
        <v/>
      </c>
      <c r="D31" s="15">
        <f>COUNTIFS('Tên chức năng'!B13:B1000,"[m02]*",'Tên chức năng'!I13:I1000,"Pass")+COUNTIFS('Tên API'!B13:B1000,"[m02]*",'Tên API'!I13:I1000,"Pass")</f>
        <v/>
      </c>
      <c r="E31" s="15">
        <f>COUNTIFS('Tên chức năng'!B13:B1000,"[m02]*",'Tên chức năng'!I13:I1000,"Fail")+COUNTIFS('Tên API'!B13:B1000,"[m02]*",'Tên API'!I13:I1000,"Fail")</f>
        <v/>
      </c>
      <c r="F31" s="15">
        <f>COUNTIFS('Tên chức năng'!B13:B1000,"[m02]*",'Tên chức năng'!I13:I1000,"Blocked")+COUNTIFS('Tên API'!B13:B1000,"[m02]*",'Tên API'!I13:I1000,"Blocked")</f>
        <v/>
      </c>
      <c r="G31" s="16">
        <f>IFERROR(D31/(D31+E31),0)</f>
        <v/>
      </c>
    </row>
    <row r="32">
      <c r="B32" s="14" t="inlineStr">
        <is>
          <t>m03</t>
        </is>
      </c>
      <c r="C32" s="15">
        <f>COUNTIF('Tên chức năng'!B13:B1000,"[m03]*")+COUNTIF('Tên API'!B13:B1000,"[m03]*")</f>
        <v/>
      </c>
      <c r="D32" s="15">
        <f>COUNTIFS('Tên chức năng'!B13:B1000,"[m03]*",'Tên chức năng'!I13:I1000,"Pass")+COUNTIFS('Tên API'!B13:B1000,"[m03]*",'Tên API'!I13:I1000,"Pass")</f>
        <v/>
      </c>
      <c r="E32" s="15">
        <f>COUNTIFS('Tên chức năng'!B13:B1000,"[m03]*",'Tên chức năng'!I13:I1000,"Fail")+COUNTIFS('Tên API'!B13:B1000,"[m03]*",'Tên API'!I13:I1000,"Fail")</f>
        <v/>
      </c>
      <c r="F32" s="15">
        <f>COUNTIFS('Tên chức năng'!B13:B1000,"[m03]*",'Tên chức năng'!I13:I1000,"Blocked")+COUNTIFS('Tên API'!B13:B1000,"[m03]*",'Tên API'!I13:I1000,"Blocked")</f>
        <v/>
      </c>
      <c r="G32" s="16">
        <f>IFERROR(D32/(D32+E32),0)</f>
        <v/>
      </c>
    </row>
    <row r="33">
      <c r="B33" s="14" t="inlineStr">
        <is>
          <t>m04</t>
        </is>
      </c>
      <c r="C33" s="15">
        <f>COUNTIF('Tên chức năng'!B13:B1000,"[m04]*")+COUNTIF('Tên API'!B13:B1000,"[m04]*")</f>
        <v/>
      </c>
      <c r="D33" s="15">
        <f>COUNTIFS('Tên chức năng'!B13:B1000,"[m04]*",'Tên chức năng'!I13:I1000,"Pass")+COUNTIFS('Tên API'!B13:B1000,"[m04]*",'Tên API'!I13:I1000,"Pass")</f>
        <v/>
      </c>
      <c r="E33" s="15">
        <f>COUNTIFS('Tên chức năng'!B13:B1000,"[m04]*",'Tên chức năng'!I13:I1000,"Fail")+COUNTIFS('Tên API'!B13:B1000,"[m04]*",'Tên API'!I13:I1000,"Fail")</f>
        <v/>
      </c>
      <c r="F33" s="15">
        <f>COUNTIFS('Tên chức năng'!B13:B1000,"[m04]*",'Tên chức năng'!I13:I1000,"Blocked")+COUNTIFS('Tên API'!B13:B1000,"[m04]*",'Tên API'!I13:I1000,"Blocked")</f>
        <v/>
      </c>
      <c r="G33" s="16">
        <f>IFERROR(D33/(D33+E33),0)</f>
        <v/>
      </c>
    </row>
    <row r="34">
      <c r="B34" s="14" t="inlineStr">
        <is>
          <t>m05</t>
        </is>
      </c>
      <c r="C34" s="15">
        <f>COUNTIF('Tên chức năng'!B13:B1000,"[m05]*")+COUNTIF('Tên API'!B13:B1000,"[m05]*")</f>
        <v/>
      </c>
      <c r="D34" s="15">
        <f>COUNTIFS('Tên chức năng'!B13:B1000,"[m05]*",'Tên chức năng'!I13:I1000,"Pass")+COUNTIFS('Tên API'!B13:B1000,"[m05]*",'Tên API'!I13:I1000,"Pass")</f>
        <v/>
      </c>
      <c r="E34" s="15">
        <f>COUNTIFS('Tên chức năng'!B13:B1000,"[m05]*",'Tên chức năng'!I13:I1000,"Fail")+COUNTIFS('Tên API'!B13:B1000,"[m05]*",'Tên API'!I13:I1000,"Fail")</f>
        <v/>
      </c>
      <c r="F34" s="15">
        <f>COUNTIFS('Tên chức năng'!B13:B1000,"[m05]*",'Tên chức năng'!I13:I1000,"Blocked")+COUNTIFS('Tên API'!B13:B1000,"[m05]*",'Tên API'!I13:I1000,"Blocked")</f>
        <v/>
      </c>
      <c r="G34" s="16">
        <f>IFERROR(D34/(D34+E34),0)</f>
        <v/>
      </c>
    </row>
    <row r="35">
      <c r="B35" s="14" t="inlineStr">
        <is>
          <t>m06</t>
        </is>
      </c>
      <c r="C35" s="15">
        <f>COUNTIF('Tên chức năng'!B13:B1000,"[m06]*")+COUNTIF('Tên API'!B13:B1000,"[m06]*")</f>
        <v/>
      </c>
      <c r="D35" s="15">
        <f>COUNTIFS('Tên chức năng'!B13:B1000,"[m06]*",'Tên chức năng'!I13:I1000,"Pass")+COUNTIFS('Tên API'!B13:B1000,"[m06]*",'Tên API'!I13:I1000,"Pass")</f>
        <v/>
      </c>
      <c r="E35" s="15">
        <f>COUNTIFS('Tên chức năng'!B13:B1000,"[m06]*",'Tên chức năng'!I13:I1000,"Fail")+COUNTIFS('Tên API'!B13:B1000,"[m06]*",'Tên API'!I13:I1000,"Fail")</f>
        <v/>
      </c>
      <c r="F35" s="15">
        <f>COUNTIFS('Tên chức năng'!B13:B1000,"[m06]*",'Tên chức năng'!I13:I1000,"Blocked")+COUNTIFS('Tên API'!B13:B1000,"[m06]*",'Tên API'!I13:I1000,"Blocked")</f>
        <v/>
      </c>
      <c r="G35" s="16">
        <f>IFERROR(D35/(D35+E35),0)</f>
        <v/>
      </c>
    </row>
    <row r="36">
      <c r="B36" s="14" t="inlineStr">
        <is>
          <t>m07</t>
        </is>
      </c>
      <c r="C36" s="15">
        <f>COUNTIF('Tên chức năng'!B13:B1000,"[m07]*")+COUNTIF('Tên API'!B13:B1000,"[m07]*")</f>
        <v/>
      </c>
      <c r="D36" s="15">
        <f>COUNTIFS('Tên chức năng'!B13:B1000,"[m07]*",'Tên chức năng'!I13:I1000,"Pass")+COUNTIFS('Tên API'!B13:B1000,"[m07]*",'Tên API'!I13:I1000,"Pass")</f>
        <v/>
      </c>
      <c r="E36" s="15">
        <f>COUNTIFS('Tên chức năng'!B13:B1000,"[m07]*",'Tên chức năng'!I13:I1000,"Fail")+COUNTIFS('Tên API'!B13:B1000,"[m07]*",'Tên API'!I13:I1000,"Fail")</f>
        <v/>
      </c>
      <c r="F36" s="15">
        <f>COUNTIFS('Tên chức năng'!B13:B1000,"[m07]*",'Tên chức năng'!I13:I1000,"Blocked")+COUNTIFS('Tên API'!B13:B1000,"[m07]*",'Tên API'!I13:I1000,"Blocked")</f>
        <v/>
      </c>
      <c r="G36" s="16">
        <f>IFERROR(D36/(D36+E36),0)</f>
        <v/>
      </c>
    </row>
    <row r="37">
      <c r="B37" s="14" t="inlineStr">
        <is>
          <t>m08</t>
        </is>
      </c>
      <c r="C37" s="15">
        <f>COUNTIF('Tên chức năng'!B13:B1000,"[m08]*")+COUNTIF('Tên API'!B13:B1000,"[m08]*")</f>
        <v/>
      </c>
      <c r="D37" s="15">
        <f>COUNTIFS('Tên chức năng'!B13:B1000,"[m08]*",'Tên chức năng'!I13:I1000,"Pass")+COUNTIFS('Tên API'!B13:B1000,"[m08]*",'Tên API'!I13:I1000,"Pass")</f>
        <v/>
      </c>
      <c r="E37" s="15">
        <f>COUNTIFS('Tên chức năng'!B13:B1000,"[m08]*",'Tên chức năng'!I13:I1000,"Fail")+COUNTIFS('Tên API'!B13:B1000,"[m08]*",'Tên API'!I13:I1000,"Fail")</f>
        <v/>
      </c>
      <c r="F37" s="15">
        <f>COUNTIFS('Tên chức năng'!B13:B1000,"[m08]*",'Tên chức năng'!I13:I1000,"Blocked")+COUNTIFS('Tên API'!B13:B1000,"[m08]*",'Tên API'!I13:I1000,"Blocked")</f>
        <v/>
      </c>
      <c r="G37" s="16">
        <f>IFERROR(D37/(D37+E37),0)</f>
        <v/>
      </c>
    </row>
    <row r="38">
      <c r="B38" s="14" t="inlineStr">
        <is>
          <t>m09</t>
        </is>
      </c>
      <c r="C38" s="15">
        <f>COUNTIF('Tên chức năng'!B13:B1000,"[m09]*")+COUNTIF('Tên API'!B13:B1000,"[m09]*")</f>
        <v/>
      </c>
      <c r="D38" s="15">
        <f>COUNTIFS('Tên chức năng'!B13:B1000,"[m09]*",'Tên chức năng'!I13:I1000,"Pass")+COUNTIFS('Tên API'!B13:B1000,"[m09]*",'Tên API'!I13:I1000,"Pass")</f>
        <v/>
      </c>
      <c r="E38" s="15">
        <f>COUNTIFS('Tên chức năng'!B13:B1000,"[m09]*",'Tên chức năng'!I13:I1000,"Fail")+COUNTIFS('Tên API'!B13:B1000,"[m09]*",'Tên API'!I13:I1000,"Fail")</f>
        <v/>
      </c>
      <c r="F38" s="15">
        <f>COUNTIFS('Tên chức năng'!B13:B1000,"[m09]*",'Tên chức năng'!I13:I1000,"Blocked")+COUNTIFS('Tên API'!B13:B1000,"[m09]*",'Tên API'!I13:I1000,"Blocked")</f>
        <v/>
      </c>
      <c r="G38" s="16">
        <f>IFERROR(D38/(D38+E38),0)</f>
        <v/>
      </c>
    </row>
    <row r="39">
      <c r="B39" s="14" t="inlineStr">
        <is>
          <t>m10</t>
        </is>
      </c>
      <c r="C39" s="15">
        <f>COUNTIF('Tên chức năng'!B13:B1000,"[m10]*")+COUNTIF('Tên API'!B13:B1000,"[m10]*")</f>
        <v/>
      </c>
      <c r="D39" s="15">
        <f>COUNTIFS('Tên chức năng'!B13:B1000,"[m10]*",'Tên chức năng'!I13:I1000,"Pass")+COUNTIFS('Tên API'!B13:B1000,"[m10]*",'Tên API'!I13:I1000,"Pass")</f>
        <v/>
      </c>
      <c r="E39" s="15">
        <f>COUNTIFS('Tên chức năng'!B13:B1000,"[m10]*",'Tên chức năng'!I13:I1000,"Fail")+COUNTIFS('Tên API'!B13:B1000,"[m10]*",'Tên API'!I13:I1000,"Fail")</f>
        <v/>
      </c>
      <c r="F39" s="15">
        <f>COUNTIFS('Tên chức năng'!B13:B1000,"[m10]*",'Tên chức năng'!I13:I1000,"Blocked")+COUNTIFS('Tên API'!B13:B1000,"[m10]*",'Tên API'!I13:I1000,"Blocked")</f>
        <v/>
      </c>
      <c r="G39" s="16">
        <f>IFERROR(D39/(D39+E39),0)</f>
        <v/>
      </c>
    </row>
    <row r="40">
      <c r="B40" s="14" t="inlineStr">
        <is>
          <t>m11</t>
        </is>
      </c>
      <c r="C40" s="15">
        <f>COUNTIF('Tên chức năng'!B13:B1000,"[m11]*")+COUNTIF('Tên API'!B13:B1000,"[m11]*")</f>
        <v/>
      </c>
      <c r="D40" s="15">
        <f>COUNTIFS('Tên chức năng'!B13:B1000,"[m11]*",'Tên chức năng'!I13:I1000,"Pass")+COUNTIFS('Tên API'!B13:B1000,"[m11]*",'Tên API'!I13:I1000,"Pass")</f>
        <v/>
      </c>
      <c r="E40" s="15">
        <f>COUNTIFS('Tên chức năng'!B13:B1000,"[m11]*",'Tên chức năng'!I13:I1000,"Fail")+COUNTIFS('Tên API'!B13:B1000,"[m11]*",'Tên API'!I13:I1000,"Fail")</f>
        <v/>
      </c>
      <c r="F40" s="15">
        <f>COUNTIFS('Tên chức năng'!B13:B1000,"[m11]*",'Tên chức năng'!I13:I1000,"Blocked")+COUNTIFS('Tên API'!B13:B1000,"[m11]*",'Tên API'!I13:I1000,"Blocked")</f>
        <v/>
      </c>
      <c r="G40" s="16">
        <f>IFERROR(D40/(D40+E40),0)</f>
        <v/>
      </c>
    </row>
    <row r="41">
      <c r="B41" s="14" t="inlineStr">
        <is>
          <t>m12</t>
        </is>
      </c>
      <c r="C41" s="15">
        <f>COUNTIF('Tên chức năng'!B13:B1000,"[m12]*")+COUNTIF('Tên API'!B13:B1000,"[m12]*")</f>
        <v/>
      </c>
      <c r="D41" s="15">
        <f>COUNTIFS('Tên chức năng'!B13:B1000,"[m12]*",'Tên chức năng'!I13:I1000,"Pass")+COUNTIFS('Tên API'!B13:B1000,"[m12]*",'Tên API'!I13:I1000,"Pass")</f>
        <v/>
      </c>
      <c r="E41" s="15">
        <f>COUNTIFS('Tên chức năng'!B13:B1000,"[m12]*",'Tên chức năng'!I13:I1000,"Fail")+COUNTIFS('Tên API'!B13:B1000,"[m12]*",'Tên API'!I13:I1000,"Fail")</f>
        <v/>
      </c>
      <c r="F41" s="15">
        <f>COUNTIFS('Tên chức năng'!B13:B1000,"[m12]*",'Tên chức năng'!I13:I1000,"Blocked")+COUNTIFS('Tên API'!B13:B1000,"[m12]*",'Tên API'!I13:I1000,"Blocked")</f>
        <v/>
      </c>
      <c r="G41" s="16">
        <f>IFERROR(D41/(D41+E41),0)</f>
        <v/>
      </c>
    </row>
    <row r="42">
      <c r="B42" s="14" t="inlineStr">
        <is>
          <t>m13</t>
        </is>
      </c>
      <c r="C42" s="15">
        <f>COUNTIF('Tên chức năng'!B13:B1000,"[m13]*")+COUNTIF('Tên API'!B13:B1000,"[m13]*")</f>
        <v/>
      </c>
      <c r="D42" s="15">
        <f>COUNTIFS('Tên chức năng'!B13:B1000,"[m13]*",'Tên chức năng'!I13:I1000,"Pass")+COUNTIFS('Tên API'!B13:B1000,"[m13]*",'Tên API'!I13:I1000,"Pass")</f>
        <v/>
      </c>
      <c r="E42" s="15">
        <f>COUNTIFS('Tên chức năng'!B13:B1000,"[m13]*",'Tên chức năng'!I13:I1000,"Fail")+COUNTIFS('Tên API'!B13:B1000,"[m13]*",'Tên API'!I13:I1000,"Fail")</f>
        <v/>
      </c>
      <c r="F42" s="15">
        <f>COUNTIFS('Tên chức năng'!B13:B1000,"[m13]*",'Tên chức năng'!I13:I1000,"Blocked")+COUNTIFS('Tên API'!B13:B1000,"[m13]*",'Tên API'!I13:I1000,"Blocked")</f>
        <v/>
      </c>
      <c r="G42" s="16">
        <f>IFERROR(D42/(D42+E42),0)</f>
        <v/>
      </c>
    </row>
    <row r="45">
      <c r="B45" s="24" t="inlineStr">
        <is>
          <t>Quy ước màu Pass rate:</t>
        </is>
      </c>
    </row>
    <row r="46">
      <c r="B46" s="25" t="inlineStr">
        <is>
          <t>🟥 &lt; 70% (block)</t>
        </is>
      </c>
      <c r="C46" s="25" t="inlineStr">
        <is>
          <t>🟨 70-94% (warning)</t>
        </is>
      </c>
      <c r="E46" s="25" t="inlineStr">
        <is>
          <t>🟩 ≥ 95% (good)</t>
        </is>
      </c>
    </row>
  </sheetData>
  <mergeCells count="7">
    <mergeCell ref="B11:J11"/>
    <mergeCell ref="B19:J19"/>
    <mergeCell ref="B45:J45"/>
    <mergeCell ref="B28:J28"/>
    <mergeCell ref="C20:F20"/>
    <mergeCell ref="B4:J4"/>
    <mergeCell ref="B2:J2"/>
  </mergeCells>
  <conditionalFormatting sqref="I6:I8">
    <cfRule type="colorScale" priority="1">
      <colorScale>
        <cfvo type="num" val="0"/>
        <cfvo type="num" val="0.85"/>
        <cfvo type="num" val="1"/>
        <color rgb="00DC2626"/>
        <color rgb="00FFBF00"/>
        <color rgb="0016A34A"/>
      </colorScale>
    </cfRule>
  </conditionalFormatting>
  <conditionalFormatting sqref="J6:J8">
    <cfRule type="colorScale" priority="2">
      <colorScale>
        <cfvo type="num" val="0"/>
        <cfvo type="num" val="0.85"/>
        <cfvo type="num" val="1"/>
        <color rgb="00DC2626"/>
        <color rgb="00FFBF00"/>
        <color rgb="0016A34A"/>
      </colorScale>
    </cfRule>
  </conditionalFormatting>
  <conditionalFormatting sqref="G13:G16">
    <cfRule type="colorScale" priority="3">
      <colorScale>
        <cfvo type="num" val="0"/>
        <cfvo type="num" val="0.85"/>
        <cfvo type="num" val="1"/>
        <color rgb="00DC2626"/>
        <color rgb="00FFBF00"/>
        <color rgb="0016A34A"/>
      </colorScale>
    </cfRule>
  </conditionalFormatting>
  <conditionalFormatting sqref="C22:D26">
    <cfRule type="colorScale" priority="4">
      <colorScale>
        <cfvo type="num" val="0"/>
        <cfvo type="num" val="5"/>
        <cfvo type="num" val="20"/>
        <color rgb="0016A34A"/>
        <color rgb="00FFBF00"/>
        <color rgb="00DC2626"/>
      </colorScale>
    </cfRule>
  </conditionalFormatting>
  <conditionalFormatting sqref="G30:G42">
    <cfRule type="colorScale" priority="5">
      <colorScale>
        <cfvo type="num" val="0"/>
        <cfvo type="num" val="0.85"/>
        <cfvo type="num" val="1"/>
        <color rgb="00DC2626"/>
        <color rgb="00FFBF00"/>
        <color rgb="0016A34A"/>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N63"/>
  <sheetViews>
    <sheetView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8" customWidth="1" min="2" max="2"/>
    <col width="12" customWidth="1" min="3" max="3"/>
    <col width="13" customWidth="1" min="4" max="4"/>
    <col width="28" customWidth="1" min="5" max="5"/>
    <col width="22" customWidth="1" min="6" max="6"/>
    <col width="50" customWidth="1" min="7" max="7"/>
    <col width="50" customWidth="1" min="8" max="8"/>
    <col width="11" customWidth="1" min="9" max="9"/>
    <col width="13" customWidth="1" min="10" max="10"/>
    <col width="11" customWidth="1" min="11" max="11"/>
    <col width="13" customWidth="1" min="12" max="12"/>
    <col width="11" customWidth="1" min="13" max="13"/>
    <col width="22" customWidth="1" min="14" max="14"/>
  </cols>
  <sheetData>
    <row r="1" ht="30" customHeight="1">
      <c r="A1" s="13" t="inlineStr">
        <is>
          <t>TÊN CHỨC NĂNG</t>
        </is>
      </c>
      <c r="B1" s="29" t="n"/>
      <c r="C1" s="29" t="n"/>
      <c r="D1" s="29" t="n"/>
      <c r="E1" s="29" t="n"/>
      <c r="F1" s="29" t="n"/>
      <c r="G1" s="29" t="n"/>
      <c r="H1" s="29" t="n"/>
      <c r="I1" s="29" t="n"/>
      <c r="J1" s="29" t="n"/>
      <c r="K1" s="29" t="n"/>
      <c r="L1" s="29" t="n"/>
      <c r="M1" s="29" t="n"/>
      <c r="N1" s="30" t="n"/>
    </row>
    <row r="2">
      <c r="A2" s="26" t="inlineStr">
        <is>
          <t>Tên hệ thống:</t>
        </is>
      </c>
      <c r="B2" s="14" t="inlineStr">
        <is>
          <t>ITS Mobile VEC — Ứng dụng di động vận hành ITS tuyến Nội Bài – Lào Cai</t>
        </is>
      </c>
      <c r="C2" s="29" t="n"/>
      <c r="D2" s="29" t="n"/>
      <c r="E2" s="29" t="n"/>
      <c r="F2" s="29" t="n"/>
      <c r="G2" s="29" t="n"/>
      <c r="H2" s="29" t="n"/>
      <c r="I2" s="29" t="n"/>
      <c r="J2" s="29" t="n"/>
      <c r="K2" s="29" t="n"/>
      <c r="L2" s="29" t="n"/>
      <c r="M2" s="29" t="n"/>
      <c r="N2" s="30" t="n"/>
    </row>
    <row r="3">
      <c r="A3" s="26" t="inlineStr">
        <is>
          <t>Phiên bản:</t>
        </is>
      </c>
      <c r="B3" s="14" t="inlineStr">
        <is>
          <t>1.0</t>
        </is>
      </c>
      <c r="C3" s="29" t="n"/>
      <c r="D3" s="29" t="n"/>
      <c r="E3" s="29" t="n"/>
      <c r="F3" s="29" t="n"/>
      <c r="G3" s="29" t="n"/>
      <c r="H3" s="29" t="n"/>
      <c r="I3" s="29" t="n"/>
      <c r="J3" s="29" t="n"/>
      <c r="K3" s="29" t="n"/>
      <c r="L3" s="29" t="n"/>
      <c r="M3" s="29" t="n"/>
      <c r="N3" s="30" t="n"/>
    </row>
    <row r="4">
      <c r="A4" s="26" t="inlineStr">
        <is>
          <t>Người chuẩn bị:</t>
        </is>
      </c>
      <c r="B4" s="14" t="inlineStr">
        <is>
          <t>[CẦN BỔ SUNG: Tester]</t>
        </is>
      </c>
      <c r="C4" s="29" t="n"/>
      <c r="D4" s="29" t="n"/>
      <c r="E4" s="29" t="n"/>
      <c r="F4" s="29" t="n"/>
      <c r="G4" s="29" t="n"/>
      <c r="H4" s="29" t="n"/>
      <c r="I4" s="29" t="n"/>
      <c r="J4" s="29" t="n"/>
      <c r="K4" s="29" t="n"/>
      <c r="L4" s="29" t="n"/>
      <c r="M4" s="29" t="n"/>
      <c r="N4" s="30" t="n"/>
    </row>
    <row r="11" ht="26" customHeight="1">
      <c r="A11" s="7" t="inlineStr">
        <is>
          <t>Mã TC</t>
        </is>
      </c>
      <c r="B11" s="7" t="inlineStr">
        <is>
          <t>Mục đích</t>
        </is>
      </c>
      <c r="C11" s="7" t="inlineStr">
        <is>
          <t>Mức ưu tiên</t>
        </is>
      </c>
      <c r="D11" s="7" t="inlineStr">
        <is>
          <t>Mức nghiêm trọng</t>
        </is>
      </c>
      <c r="E11" s="7" t="inlineStr">
        <is>
          <t>Tiền điều kiện</t>
        </is>
      </c>
      <c r="F11" s="7" t="inlineStr">
        <is>
          <t>Dữ liệu test</t>
        </is>
      </c>
      <c r="G11" s="7" t="inlineStr">
        <is>
          <t>Các bước thực hiện</t>
        </is>
      </c>
      <c r="H11" s="7" t="inlineStr">
        <is>
          <t>Kết quả mong đợi</t>
        </is>
      </c>
      <c r="I11" s="7" t="inlineStr">
        <is>
          <t>Kết quả lần 1</t>
        </is>
      </c>
      <c r="J11" s="30" t="n"/>
      <c r="K11" s="7" t="inlineStr">
        <is>
          <t>Kết quả lần 2</t>
        </is>
      </c>
      <c r="L11" s="30" t="n"/>
      <c r="M11" s="7" t="inlineStr">
        <is>
          <t>ID Bug</t>
        </is>
      </c>
      <c r="N11" s="7" t="inlineStr">
        <is>
          <t>Ghi chú</t>
        </is>
      </c>
    </row>
    <row r="12" ht="24" customHeight="1">
      <c r="A12" s="31" t="n"/>
      <c r="B12" s="31" t="n"/>
      <c r="C12" s="31" t="n"/>
      <c r="D12" s="31" t="n"/>
      <c r="E12" s="31" t="n"/>
      <c r="F12" s="31" t="n"/>
      <c r="G12" s="31" t="n"/>
      <c r="H12" s="31" t="n"/>
      <c r="I12" s="7" t="inlineStr">
        <is>
          <t>Kết quả</t>
        </is>
      </c>
      <c r="J12" s="7" t="inlineStr">
        <is>
          <t>Trạng thái</t>
        </is>
      </c>
      <c r="K12" s="7" t="inlineStr">
        <is>
          <t>Kết quả</t>
        </is>
      </c>
      <c r="L12" s="7" t="inlineStr">
        <is>
          <t>Trạng thái</t>
        </is>
      </c>
      <c r="M12" s="31" t="n"/>
      <c r="N12" s="31" t="n"/>
    </row>
    <row r="13">
      <c r="A13" s="15" t="inlineStr">
        <is>
          <t>TC-001</t>
        </is>
      </c>
      <c r="B13" s="27" t="inlineStr">
        <is>
          <t>Đăng nhập thành công với extension và mật khẩu hợp lệ</t>
        </is>
      </c>
      <c r="C13" s="15" t="inlineStr">
        <is>
          <t>Rất cao</t>
        </is>
      </c>
      <c r="D13" s="15" t="inlineStr">
        <is>
          <t>Major</t>
        </is>
      </c>
      <c r="E13" s="27" t="inlineStr">
        <is>
          <t>Ứng dụng đã cài đặt, thiết bị có kết nối internet, tài khoản nhân viên tồn tại trong hệ thống.</t>
        </is>
      </c>
      <c r="F13" s="27" t="inlineStr"/>
      <c r="G13" s="27" t="inlineStr">
        <is>
          <t>Bước 1: Mở ứng dụng ITS Mobile VEC
Bước 2: Nhập extension hợp lệ (ví dụ: 1001)
Bước 3: Nhập mật khẩu đúng
Bước 4: Nhấn nút Đăng nhập
Bước 5: Chờ kết quả</t>
        </is>
      </c>
      <c r="H13" s="27" t="inlineStr">
        <is>
          <t>Bước 1: Màn hình đăng nhập hiển thị với 2 trường nhập: Extension và Mật khẩu
Bước 2: Trường Extension nhận giá trị
Bước 3: Mật khẩu hiển thị dạng ẩn (****)
Bước 4: Ứng dụng gửi yêu cầu xác thực, hiển thị loading
Bước 5: Chuyển sang màn hình chính, hiển thị tên nhân viên và trạng thái sẵn sàng</t>
        </is>
      </c>
      <c r="I13" s="15" t="n"/>
      <c r="J13" s="15" t="n"/>
      <c r="K13" s="15" t="n"/>
      <c r="L13" s="15" t="n"/>
      <c r="M13" s="15" t="n"/>
      <c r="N13" s="27" t="inlineStr"/>
    </row>
    <row r="14">
      <c r="A14" s="15" t="inlineStr">
        <is>
          <t>TC-002</t>
        </is>
      </c>
      <c r="B14" s="27" t="inlineStr">
        <is>
          <t>Đăng nhập thất bại khi extension không tồn tại</t>
        </is>
      </c>
      <c r="C14" s="15" t="inlineStr">
        <is>
          <t>Rất cao</t>
        </is>
      </c>
      <c r="D14" s="15" t="inlineStr">
        <is>
          <t>Major</t>
        </is>
      </c>
      <c r="E14" s="27" t="inlineStr">
        <is>
          <t>Ứng dụng đã cài đặt, thiết bị có kết nối internet.</t>
        </is>
      </c>
      <c r="F14" s="27" t="inlineStr"/>
      <c r="G14" s="27" t="inlineStr">
        <is>
          <t>Bước 1: Mở ứng dụng, nhập extension không tồn tại (ví dụ: 9999)
Bước 2: Nhập mật khẩu bất kỳ
Bước 3: Nhấn nút Đăng nhập</t>
        </is>
      </c>
      <c r="H14" s="27" t="inlineStr">
        <is>
          <t>Bước 1: Trường Extension nhận giá trị
Bước 2: Trường Mật khẩu nhận giá trị
Bước 3: Ứng dụng gửi yêu cầu xác thực</t>
        </is>
      </c>
      <c r="I14" s="15" t="n"/>
      <c r="J14" s="15" t="n"/>
      <c r="K14" s="15" t="n"/>
      <c r="L14" s="15" t="n"/>
      <c r="M14" s="15" t="n"/>
      <c r="N14" s="27" t="inlineStr"/>
    </row>
    <row r="15">
      <c r="A15" s="15" t="inlineStr">
        <is>
          <t>TC-003</t>
        </is>
      </c>
      <c r="B15" s="27" t="inlineStr">
        <is>
          <t>Đăng nhập thất bại khi mật khẩu sai</t>
        </is>
      </c>
      <c r="C15" s="15" t="inlineStr">
        <is>
          <t>Cao</t>
        </is>
      </c>
      <c r="D15" s="15" t="inlineStr">
        <is>
          <t>Major</t>
        </is>
      </c>
      <c r="E15" s="27" t="inlineStr">
        <is>
          <t>Ứng dụng đã cài đặt, tài khoản hợp lệ tồn tại trong hệ thống.</t>
        </is>
      </c>
      <c r="F15" s="27" t="inlineStr"/>
      <c r="G15" s="27" t="inlineStr">
        <is>
          <t>Bước 1: Mở ứng dụng, nhập extension hợp lệ
Bước 2: Nhập mật khẩu sai
Bước 3: Nhấn nút Đăng nhập</t>
        </is>
      </c>
      <c r="H15" s="27" t="inlineStr">
        <is>
          <t>Bước 1: Trường Extension nhận giá trị
Bước 2: Trường Mật khẩu nhận giá trị (ẩn)
Bước 3: Ứng dụng gửi yêu cầu xác thực</t>
        </is>
      </c>
      <c r="I15" s="15" t="n"/>
      <c r="J15" s="15" t="n"/>
      <c r="K15" s="15" t="n"/>
      <c r="L15" s="15" t="n"/>
      <c r="M15" s="15" t="n"/>
      <c r="N15" s="27" t="inlineStr"/>
    </row>
    <row r="16">
      <c r="A16" s="15" t="inlineStr">
        <is>
          <t>TC-004</t>
        </is>
      </c>
      <c r="B16" s="27" t="inlineStr">
        <is>
          <t>Đăng nhập thất bại khi để trống trường Extension</t>
        </is>
      </c>
      <c r="C16" s="15" t="inlineStr">
        <is>
          <t>Trung bình</t>
        </is>
      </c>
      <c r="D16" s="15" t="inlineStr">
        <is>
          <t>Major</t>
        </is>
      </c>
      <c r="E16" s="27" t="inlineStr">
        <is>
          <t>Ứng dụng đã cài đặt.</t>
        </is>
      </c>
      <c r="F16" s="27" t="inlineStr"/>
      <c r="G16" s="27" t="inlineStr">
        <is>
          <t>Bước 1: Mở ứng dụng, bỏ trống trường Extension
Bước 2: Nhập mật khẩu bất kỳ
Bước 3: Nhấn nút Đăng nhập</t>
        </is>
      </c>
      <c r="H16" s="27" t="inlineStr">
        <is>
          <t>Bước 1: Trường Extension rỗng
Bước 2: Trường Mật khẩu nhận giá trị
Bước 3: Ứng dụng kiểm tra validation</t>
        </is>
      </c>
      <c r="I16" s="15" t="n"/>
      <c r="J16" s="15" t="n"/>
      <c r="K16" s="15" t="n"/>
      <c r="L16" s="15" t="n"/>
      <c r="M16" s="15" t="n"/>
      <c r="N16" s="27" t="inlineStr"/>
    </row>
    <row r="17">
      <c r="A17" s="15" t="inlineStr">
        <is>
          <t>TC-005</t>
        </is>
      </c>
      <c r="B17" s="27" t="inlineStr">
        <is>
          <t>Đăng nhập khi không có kết nối mạng</t>
        </is>
      </c>
      <c r="C17" s="15" t="inlineStr">
        <is>
          <t>Cao</t>
        </is>
      </c>
      <c r="D17" s="15" t="inlineStr">
        <is>
          <t>Major</t>
        </is>
      </c>
      <c r="E17" s="27" t="inlineStr">
        <is>
          <t>Ứng dụng đã cài đặt, thiết bị TẮT Wi-Fi và dữ liệu di động.</t>
        </is>
      </c>
      <c r="F17" s="27" t="inlineStr"/>
      <c r="G17" s="27" t="inlineStr">
        <is>
          <t>Bước 1: Mở ứng dụng, nhập extension và mật khẩu hợp lệ
Bước 2: Nhấn nút Đăng nhập</t>
        </is>
      </c>
      <c r="H17" s="27" t="inlineStr">
        <is>
          <t>Bước 1: Màn hình đăng nhập hiển thị
Bước 2: Ứng dụng thử kết nối đến server</t>
        </is>
      </c>
      <c r="I17" s="15" t="n"/>
      <c r="J17" s="15" t="n"/>
      <c r="K17" s="15" t="n"/>
      <c r="L17" s="15" t="n"/>
      <c r="M17" s="15" t="n"/>
      <c r="N17" s="27" t="inlineStr"/>
    </row>
    <row r="18">
      <c r="A18" s="15" t="inlineStr">
        <is>
          <t>TC-006</t>
        </is>
      </c>
      <c r="B18" s="27" t="inlineStr">
        <is>
          <t>Đăng xuất thành công từ menu</t>
        </is>
      </c>
      <c r="C18" s="15" t="inlineStr">
        <is>
          <t>Cao</t>
        </is>
      </c>
      <c r="D18" s="15" t="inlineStr">
        <is>
          <t>Major</t>
        </is>
      </c>
      <c r="E18" s="27" t="inlineStr">
        <is>
          <t>Nhân viên đã đăng nhập thành công, đang ở màn hình chính.</t>
        </is>
      </c>
      <c r="F18" s="27" t="inlineStr"/>
      <c r="G18" s="27" t="inlineStr">
        <is>
          <t>Bước 1: Nhấn vào menu/icon tài khoản hoặc nút Đăng xuất
Bước 2: Xác nhận đăng xuất
Bước 3: Chờ kết quả</t>
        </is>
      </c>
      <c r="H18" s="27" t="inlineStr">
        <is>
          <t>Bước 1: Hiển thị xác nhận đăng xuất
Bước 2: Hệ thống xử lý đăng xuất
Bước 3: Chuyển về màn hình đăng nhập, JWT bị xóa khỏi storage</t>
        </is>
      </c>
      <c r="I18" s="15" t="n"/>
      <c r="J18" s="15" t="n"/>
      <c r="K18" s="15" t="n"/>
      <c r="L18" s="15" t="n"/>
      <c r="M18" s="15" t="n"/>
      <c r="N18" s="27" t="inlineStr"/>
    </row>
    <row r="19">
      <c r="A19" s="15" t="inlineStr">
        <is>
          <t>TC-007</t>
        </is>
      </c>
      <c r="B19" s="27" t="inlineStr">
        <is>
          <t>Tắt ứng dụng và mở lại kiểm tra trạng thái đăng nhập</t>
        </is>
      </c>
      <c r="C19" s="15" t="inlineStr">
        <is>
          <t>Trung bình</t>
        </is>
      </c>
      <c r="D19" s="15" t="inlineStr">
        <is>
          <t>Major</t>
        </is>
      </c>
      <c r="E19" s="27" t="inlineStr">
        <is>
          <t>Nhân viên đã đăng nhập, token còn hiệu lực.</t>
        </is>
      </c>
      <c r="F19" s="27" t="inlineStr"/>
      <c r="G19" s="27" t="inlineStr">
        <is>
          <t>Bước 1: Tắt ứng dụng (chạy nền/foreground)
Bước 2: Mở lại ứng dụng
Bước 3: Chờ kết quả</t>
        </is>
      </c>
      <c r="H19" s="27" t="inlineStr">
        <is>
          <t>Bước 1: Ứng dụng đóng
Bước 2: Ứng dụng khởi động
Bước 3: Kiểm tra trạng thái</t>
        </is>
      </c>
      <c r="I19" s="15" t="n"/>
      <c r="J19" s="15" t="n"/>
      <c r="K19" s="15" t="n"/>
      <c r="L19" s="15" t="n"/>
      <c r="M19" s="15" t="n"/>
      <c r="N19" s="27" t="inlineStr"/>
    </row>
    <row r="20">
      <c r="A20" s="15" t="inlineStr">
        <is>
          <t>TC-008</t>
        </is>
      </c>
      <c r="B20" s="27" t="inlineStr">
        <is>
          <t>Gọi VoIP nội bộ thành công đến extension khác</t>
        </is>
      </c>
      <c r="C20" s="15" t="inlineStr">
        <is>
          <t>Rất cao</t>
        </is>
      </c>
      <c r="D20" s="15" t="inlineStr">
        <is>
          <t>Major</t>
        </is>
      </c>
      <c r="E20" s="27" t="inlineStr">
        <is>
          <t>Nhân viên đã đăng nhập, kết nối VoIP đến tổng đài PBX thành công, thiết bị có micro và loa.</t>
        </is>
      </c>
      <c r="F20" s="27" t="inlineStr"/>
      <c r="G20" s="27" t="inlineStr">
        <is>
          <t>Bước 1: Vào danh bạ nội bộ, chọn một extension để gọi
Bước 2: Nhấn nút Gọi
Bước 3: Chờ người nhận bắt máy
Bước 4: Nói chuyện bình thường
Bước 5: Nhấn nút Kết thúc gọi
Bước 6: Chờ màn hình</t>
        </is>
      </c>
      <c r="H20" s="27" t="inlineStr">
        <is>
          <t>Bước 1: Hiển thị thông tin extension đích
Bước 2: Hệ thống SIP thiết lập phiên gọi, hiển thị màn hình cuộc gọi
Bước 3: Kết nối được thiết lập, hiển thị "Đang gọi"
Bước 4: Âm thanh truyền theo 2 chiều rõ ràng
Bước 5: SIP BYE được gửi, kết nối đóng lại
Bước 6: Trở về màn hình trước đó, hiển thị lịch sử cuộc gọi</t>
        </is>
      </c>
      <c r="I20" s="15" t="n"/>
      <c r="J20" s="15" t="n"/>
      <c r="K20" s="15" t="n"/>
      <c r="L20" s="15" t="n"/>
      <c r="M20" s="15" t="n"/>
      <c r="N20" s="27" t="inlineStr"/>
    </row>
    <row r="21">
      <c r="A21" s="15" t="inlineStr">
        <is>
          <t>TC-009</t>
        </is>
      </c>
      <c r="B21" s="27" t="inlineStr">
        <is>
          <t>Cuộc gọi bị từ chối vì extension đích bận</t>
        </is>
      </c>
      <c r="C21" s="15" t="inlineStr">
        <is>
          <t>Cao</t>
        </is>
      </c>
      <c r="D21" s="15" t="inlineStr">
        <is>
          <t>Major</t>
        </is>
      </c>
      <c r="E21" s="27" t="inlineStr">
        <is>
          <t>Nhân viên đã đăng nhập, kết nối VoIP hoạt động, extension đích đang trong cuộc gọi khác.</t>
        </is>
      </c>
      <c r="F21" s="27" t="inlineStr"/>
      <c r="G21" s="27" t="inlineStr">
        <is>
          <t>Bước 1: Chọn extension đích đang bận, nhấn nút Gọi
Bước 2: Chờ kết quả</t>
        </is>
      </c>
      <c r="H21" s="27" t="inlineStr">
        <is>
          <t>Bước 1: Hệ thống gửi yêu cầu gọi
Bước 2: Nhận tín hiệu "Busy" từ tổng đài</t>
        </is>
      </c>
      <c r="I21" s="15" t="n"/>
      <c r="J21" s="15" t="n"/>
      <c r="K21" s="15" t="n"/>
      <c r="L21" s="15" t="n"/>
      <c r="M21" s="15" t="n"/>
      <c r="N21" s="27" t="inlineStr"/>
    </row>
    <row r="22">
      <c r="A22" s="15" t="inlineStr">
        <is>
          <t>TC-010</t>
        </is>
      </c>
      <c r="B22" s="27" t="inlineStr">
        <is>
          <t>Mất kết nối VoIP trong khi gọi</t>
        </is>
      </c>
      <c r="C22" s="15" t="inlineStr">
        <is>
          <t>Cao</t>
        </is>
      </c>
      <c r="D22" s="15" t="inlineStr">
        <is>
          <t>Major</t>
        </is>
      </c>
      <c r="E22" s="27" t="inlineStr">
        <is>
          <t>Đang trong cuộc gọi VoIP, sau đó mất kết nối mạng.</t>
        </is>
      </c>
      <c r="F22" s="27" t="inlineStr"/>
      <c r="G22" s="27" t="inlineStr">
        <is>
          <t>Bước 1: Tắt Wi-Fi/dữ liệu trong khi đang có cuộc gọi
Bước 2: Chờ kết quả</t>
        </is>
      </c>
      <c r="H22" s="27" t="inlineStr">
        <is>
          <t>Bước 1: Mạng bị mất
Bước 2: Hệ thống phát hiện mất kết nối SIP</t>
        </is>
      </c>
      <c r="I22" s="15" t="n"/>
      <c r="J22" s="15" t="n"/>
      <c r="K22" s="15" t="n"/>
      <c r="L22" s="15" t="n"/>
      <c r="M22" s="15" t="n"/>
      <c r="N22" s="27" t="inlineStr"/>
    </row>
    <row r="23">
      <c r="A23" s="15" t="inlineStr">
        <is>
          <t>TC-011</t>
        </is>
      </c>
      <c r="B23" s="27" t="inlineStr">
        <is>
          <t>Xem danh sách toàn bộ danh bạ nội bộ</t>
        </is>
      </c>
      <c r="C23" s="15" t="inlineStr">
        <is>
          <t>Cao</t>
        </is>
      </c>
      <c r="D23" s="15" t="inlineStr">
        <is>
          <t>Major</t>
        </is>
      </c>
      <c r="E23" s="27" t="inlineStr">
        <is>
          <t>Nhân viên đã đăng nhập, dữ liệu danh bạ đã được đồng bộ từ server.</t>
        </is>
      </c>
      <c r="F23" s="27" t="inlineStr"/>
      <c r="G23" s="27" t="inlineStr">
        <is>
          <t>Bước 1: Vào menu Danh bạ hoặc Liên hệ
Bước 2: Xem danh sách</t>
        </is>
      </c>
      <c r="H23" s="27" t="inlineStr">
        <is>
          <t>Bước 1: Hiển thị màn hình danh bạ
Bước 2: Hiển thị danh sách nhân viên/phòng ban với tên, extension, trạng thái</t>
        </is>
      </c>
      <c r="I23" s="15" t="n"/>
      <c r="J23" s="15" t="n"/>
      <c r="K23" s="15" t="n"/>
      <c r="L23" s="15" t="n"/>
      <c r="M23" s="15" t="n"/>
      <c r="N23" s="27" t="inlineStr"/>
    </row>
    <row r="24">
      <c r="A24" s="15" t="inlineStr">
        <is>
          <t>TC-012</t>
        </is>
      </c>
      <c r="B24" s="27" t="inlineStr">
        <is>
          <t>Tìm kiếm nhanh trong danh bạ</t>
        </is>
      </c>
      <c r="C24" s="15" t="inlineStr">
        <is>
          <t>Trung bình</t>
        </is>
      </c>
      <c r="D24" s="15" t="inlineStr">
        <is>
          <t>Major</t>
        </is>
      </c>
      <c r="E24" s="27" t="inlineStr">
        <is>
          <t>Nhân viên đã đăng nhập, danh bạ đã tải.</t>
        </is>
      </c>
      <c r="F24" s="27" t="inlineStr"/>
      <c r="G24" s="27" t="inlineStr">
        <is>
          <t>Bước 1: Ở màn hình danh bạ, nhập từ khóa vào ô tìm kiếm
Bước 2: Nhập tên hoặc extension (ví dụ: "1002")
Bước 3: Xem kết quả</t>
        </is>
      </c>
      <c r="H24" s="27" t="inlineStr">
        <is>
          <t>Bước 1: Ô tìm kiếm nhận giá trị
Bước 2: Danh sách lọc theo từ khóa
Bước 3: Chỉ hiển thị các mục khớp với từ khóa</t>
        </is>
      </c>
      <c r="I24" s="15" t="n"/>
      <c r="J24" s="15" t="n"/>
      <c r="K24" s="15" t="n"/>
      <c r="L24" s="15" t="n"/>
      <c r="M24" s="15" t="n"/>
      <c r="N24" s="27" t="inlineStr"/>
    </row>
    <row r="25">
      <c r="A25" s="15" t="inlineStr">
        <is>
          <t>TC-013</t>
        </is>
      </c>
      <c r="B25" s="27" t="inlineStr">
        <is>
          <t>Danh bạ hiển thị thông báo khi không có dữ liệu</t>
        </is>
      </c>
      <c r="C25" s="15" t="inlineStr">
        <is>
          <t>Thấp</t>
        </is>
      </c>
      <c r="D25" s="15" t="inlineStr">
        <is>
          <t>Major</t>
        </is>
      </c>
      <c r="E25" s="27" t="inlineStr">
        <is>
          <t>Nhân viên đã đăng nhập, nhưng server trả về danh sách rỗng.</t>
        </is>
      </c>
      <c r="F25" s="27" t="inlineStr"/>
      <c r="G25" s="27" t="inlineStr">
        <is>
          <t>Bước 1: Vào màn hình Danh bạ khi server trả về danh sách rỗng</t>
        </is>
      </c>
      <c r="H25" s="27" t="inlineStr">
        <is>
          <t>Bước 1: Ứng dụng xử lý phản hồi</t>
        </is>
      </c>
      <c r="I25" s="15" t="n"/>
      <c r="J25" s="15" t="n"/>
      <c r="K25" s="15" t="n"/>
      <c r="L25" s="15" t="n"/>
      <c r="M25" s="15" t="n"/>
      <c r="N25" s="27" t="inlineStr"/>
    </row>
    <row r="26">
      <c r="A26" s="15" t="inlineStr">
        <is>
          <t>TC-014</t>
        </is>
      </c>
      <c r="B26" s="27" t="inlineStr">
        <is>
          <t>Nhấn nút SOS để gọi khẩn cấp</t>
        </is>
      </c>
      <c r="C26" s="15" t="inlineStr">
        <is>
          <t>Rất cao</t>
        </is>
      </c>
      <c r="D26" s="15" t="inlineStr">
        <is>
          <t>Major</t>
        </is>
      </c>
      <c r="E26" s="27" t="inlineStr">
        <is>
          <t>Nhân viên đang sử dụng ứng dụng (bất kỳ màn hình nào), thiết bị có sóng GSM.</t>
        </is>
      </c>
      <c r="F26" s="27" t="inlineStr"/>
      <c r="G26" s="27" t="inlineStr">
        <is>
          <t>Bước 1: Nhìn thấy nút SOS trên màn hình hiện tại
Bước 2: Nhấn giữ nút SOS (để tránh gọi nhầm)
Bước 3: Xác nhận gọi khẩn cấp</t>
        </is>
      </c>
      <c r="H26" s="27" t="inlineStr">
        <is>
          <t>Bước 1: Nút SOS hiển thị rõ ràng (không bị che khuất)
Bước 2: Hiển thị xác nhận hoặc đếm ngược
Bước 3: Hệ thống khởi tạo cuộc gọi GSM đến số khẩn cấp định sẵn</t>
        </is>
      </c>
      <c r="I26" s="15" t="n"/>
      <c r="J26" s="15" t="n"/>
      <c r="K26" s="15" t="n"/>
      <c r="L26" s="15" t="n"/>
      <c r="M26" s="15" t="n"/>
      <c r="N26" s="27" t="inlineStr"/>
    </row>
    <row r="27">
      <c r="A27" s="15" t="inlineStr">
        <is>
          <t>TC-015</t>
        </is>
      </c>
      <c r="B27" s="27" t="inlineStr">
        <is>
          <t>Nhận push notification nhiệm vụ mới từ TMC</t>
        </is>
      </c>
      <c r="C27" s="15" t="inlineStr">
        <is>
          <t>Rất cao</t>
        </is>
      </c>
      <c r="D27" s="15" t="inlineStr">
        <is>
          <t>Major</t>
        </is>
      </c>
      <c r="E27" s="27" t="inlineStr">
        <is>
          <t>Nhân viên đã đăng nhập, FCM/APNs đã được đăng ký, TMC phát nhiệm vụ mới.</t>
        </is>
      </c>
      <c r="F27" s="27" t="inlineStr"/>
      <c r="G27" s="27" t="inlineStr">
        <is>
          <t>Bước 1: Nhân viên đang ở bất kỳ màn hình nào khi TMC phát nhiệm vụ
Bước 2: Thông báo xuất hiện trên thiết bị
Bước 3: Nhấn vào thông báo
Bước 4: Màn hình nhiệm vụ hiện ra</t>
        </is>
      </c>
      <c r="H27" s="27" t="inlineStr">
        <is>
          <t>Bước 1: FCM/APNs gửi push notification
Bước 2: Notification hiển thị tiêu đề và mô tả ngắn
Bước 3: Ứng dụng mở ra hoặc foreground
Bước 4: Nhiệm vụ mới xuất hiện trong danh sách với trạng thái "Đã nhận" (status=1)</t>
        </is>
      </c>
      <c r="I27" s="15" t="n"/>
      <c r="J27" s="15" t="n"/>
      <c r="K27" s="15" t="n"/>
      <c r="L27" s="15" t="n"/>
      <c r="M27" s="15" t="n"/>
      <c r="N27" s="27" t="inlineStr"/>
    </row>
    <row r="28">
      <c r="A28" s="15" t="inlineStr">
        <is>
          <t>TC-016</t>
        </is>
      </c>
      <c r="B28" s="27" t="inlineStr">
        <is>
          <t>Xem danh sách nhiệm vụ được giao</t>
        </is>
      </c>
      <c r="C28" s="15" t="inlineStr">
        <is>
          <t>Rất cao</t>
        </is>
      </c>
      <c r="D28" s="15" t="inlineStr">
        <is>
          <t>Major</t>
        </is>
      </c>
      <c r="E28" s="27" t="inlineStr">
        <is>
          <t>Nhân viên đã đăng nhập, có ít nhất 1 nhiệm vụ trong hệ thống.</t>
        </is>
      </c>
      <c r="F28" s="27" t="inlineStr"/>
      <c r="G28" s="27" t="inlineStr">
        <is>
          <t>Bước 1: Vào menu Nhiệm vụ / Công việc
Bước 2: Xem danh sách
Bước 3: Kéo xuống để làm mới (pull-to-refresh)</t>
        </is>
      </c>
      <c r="H28" s="27" t="inlineStr">
        <is>
          <t>Bước 1: Màn hình danh sách nhiệm vụ hiển thị
Bước 2: Hiển thị các nhiệm vụ với: mã nhiệm vụ, mô tả sự cố, vị trí, thời gian, trạng thái
Bước 3: Đồng bộ dữ liệu mới từ server</t>
        </is>
      </c>
      <c r="I28" s="15" t="n"/>
      <c r="J28" s="15" t="n"/>
      <c r="K28" s="15" t="n"/>
      <c r="L28" s="15" t="n"/>
      <c r="M28" s="15" t="n"/>
      <c r="N28" s="27" t="inlineStr"/>
    </row>
    <row r="29">
      <c r="A29" s="15" t="inlineStr">
        <is>
          <t>TC-017</t>
        </is>
      </c>
      <c r="B29" s="27" t="inlineStr">
        <is>
          <t>Xem chi tiết nhiệm vụ và các trường thông tin</t>
        </is>
      </c>
      <c r="C29" s="15" t="inlineStr">
        <is>
          <t>Cao</t>
        </is>
      </c>
      <c r="D29" s="15" t="inlineStr">
        <is>
          <t>Major</t>
        </is>
      </c>
      <c r="E29" s="27" t="inlineStr">
        <is>
          <t>Nhân viên đã đăng nhập, có ít nhất 1 nhiệm vụ trong danh sách.</t>
        </is>
      </c>
      <c r="F29" s="27" t="inlineStr"/>
      <c r="G29" s="27" t="inlineStr">
        <is>
          <t>Bước 1: Từ danh sách nhiệm vụ, nhấn vào một nhiệm vụ
Bước 2: Xem các trường thông tin
Bước 3: Xem bản đồ (nếu có tọa độ)</t>
        </is>
      </c>
      <c r="H29" s="27" t="inlineStr">
        <is>
          <t>Bước 1: Chuyển sang màn hình chi tiết
Bước 2: Hiển thị: mã sự cố, mô tả, vị trí (km), loại sự cố, thời gian giao, ưu tiên, lịch sử trạng thái
Bước 3: Hiển thị vị trí trên bản đồ hoặc tọa độ GPS</t>
        </is>
      </c>
      <c r="I29" s="15" t="n"/>
      <c r="J29" s="15" t="n"/>
      <c r="K29" s="15" t="n"/>
      <c r="L29" s="15" t="n"/>
      <c r="M29" s="15" t="n"/>
      <c r="N29" s="27" t="inlineStr"/>
    </row>
    <row r="30">
      <c r="A30" s="15" t="inlineStr">
        <is>
          <t>TC-018</t>
        </is>
      </c>
      <c r="B30" s="27" t="inlineStr">
        <is>
          <t>Nhiệm vụ không có tọa độ GPS hiển thị đúng</t>
        </is>
      </c>
      <c r="C30" s="15" t="inlineStr">
        <is>
          <t>Trung bình</t>
        </is>
      </c>
      <c r="D30" s="15" t="inlineStr">
        <is>
          <t>Major</t>
        </is>
      </c>
      <c r="E30" s="27" t="inlineStr">
        <is>
          <t>Nhiệm vụ tồn tại nhưng không có trường tọa độ GPS.</t>
        </is>
      </c>
      <c r="F30" s="27" t="inlineStr"/>
      <c r="G30" s="27" t="inlineStr">
        <is>
          <t>Bước 1: Mở chi tiết nhiệm vụ không có tọa độ
Bước 2: Kiểm tra khu vực bản đồ/vị trí</t>
        </is>
      </c>
      <c r="H30" s="27" t="inlineStr">
        <is>
          <t>Bước 1: Màn hình chi tiết hiển thị
Bước 2: Phần bản đồ hoặc vị trí xử lý an toàn</t>
        </is>
      </c>
      <c r="I30" s="15" t="n"/>
      <c r="J30" s="15" t="n"/>
      <c r="K30" s="15" t="n"/>
      <c r="L30" s="15" t="n"/>
      <c r="M30" s="15" t="n"/>
      <c r="N30" s="27" t="inlineStr"/>
    </row>
    <row r="31">
      <c r="A31" s="15" t="inlineStr">
        <is>
          <t>TC-019</t>
        </is>
      </c>
      <c r="B31" s="27" t="inlineStr">
        <is>
          <t>Cập nhật trạng thái "Đang xử lý" (status=2)</t>
        </is>
      </c>
      <c r="C31" s="15" t="inlineStr">
        <is>
          <t>Rất cao</t>
        </is>
      </c>
      <c r="D31" s="15" t="inlineStr">
        <is>
          <t>Major</t>
        </is>
      </c>
      <c r="E31" s="27" t="inlineStr">
        <is>
          <t>Nhân viên đang xem chi tiết nhiệm vụ có trạng thái "Đã nhận" (status=1).</t>
        </is>
      </c>
      <c r="F31" s="27" t="inlineStr"/>
      <c r="G31" s="27" t="inlineStr">
        <is>
          <t>Bước 1: Nhấn nút "Bắt đầu xử lý" hoặc đổi trạng thái thành Đang xử lý
Bước 2: Xác nhận
Bước 3: Chờ phản hồi
Bước 4: Màn hình cập nhật</t>
        </is>
      </c>
      <c r="H31" s="27" t="inlineStr">
        <is>
          <t>Bước 1: Hiển thị xác nhận hoặc tự động cập nhật
Bước 2: Ứng dụng gửi PATCH /tasks/:id/status lên server
Bước 3: Server trả về 200 OK
Bước 4: Trạng thái chuyển thành "Đang xử lý" (status=2), thời gian bắt đầu ghi lại</t>
        </is>
      </c>
      <c r="I31" s="15" t="n"/>
      <c r="J31" s="15" t="n"/>
      <c r="K31" s="15" t="n"/>
      <c r="L31" s="15" t="n"/>
      <c r="M31" s="15" t="n"/>
      <c r="N31" s="27" t="inlineStr"/>
    </row>
    <row r="32">
      <c r="A32" s="15" t="inlineStr">
        <is>
          <t>TC-020</t>
        </is>
      </c>
      <c r="B32" s="27" t="inlineStr">
        <is>
          <t>Cập nhật trạng thái "Hoàn thành" (status=3)</t>
        </is>
      </c>
      <c r="C32" s="15" t="inlineStr">
        <is>
          <t>Rất cao</t>
        </is>
      </c>
      <c r="D32" s="15" t="inlineStr">
        <is>
          <t>Major</t>
        </is>
      </c>
      <c r="E32" s="27" t="inlineStr">
        <is>
          <t>Nhân viên đang xử lý nhiệm vụ (status=2).</t>
        </is>
      </c>
      <c r="F32" s="27" t="inlineStr"/>
      <c r="G32" s="27" t="inlineStr">
        <is>
          <t>Bước 1: Nhấn nút "Hoàn thành" hoặc đổi trạng thái thành Hoàn thành
Bước 2: Xác nhận hoàn thành
Bước 3: Chờ phản hồi
Bước 4: Màn hình cập nhật</t>
        </is>
      </c>
      <c r="H32" s="27" t="inlineStr">
        <is>
          <t>Bước 1: Hiển thị xác nhận
Bước 2: Ứng dụng gửi PATCH /tasks/:id/status
Bước 3: Server trả về 200 OK
Bước 4: Trạng thái "Hoàn thành" (status=3), nhiệm vụ chuyển sang nhóm đã xong</t>
        </is>
      </c>
      <c r="I32" s="15" t="n"/>
      <c r="J32" s="15" t="n"/>
      <c r="K32" s="15" t="n"/>
      <c r="L32" s="15" t="n"/>
      <c r="M32" s="15" t="n"/>
      <c r="N32" s="27" t="inlineStr"/>
    </row>
    <row r="33">
      <c r="A33" s="15" t="inlineStr">
        <is>
          <t>TC-021</t>
        </is>
      </c>
      <c r="B33" s="27" t="inlineStr">
        <is>
          <t>Cập nhật trạng thái thất bại do mất mạng</t>
        </is>
      </c>
      <c r="C33" s="15" t="inlineStr">
        <is>
          <t>Cao</t>
        </is>
      </c>
      <c r="D33" s="15" t="inlineStr">
        <is>
          <t>Major</t>
        </is>
      </c>
      <c r="E33" s="27" t="inlineStr">
        <is>
          <t>Nhân viên đang xử lý nhiệm vụ, sau đó mất kết nối internet.</t>
        </is>
      </c>
      <c r="F33" s="27" t="inlineStr"/>
      <c r="G33" s="27" t="inlineStr">
        <is>
          <t>Bước 1: Nhấn nút cập nhật trạng thái khi không có mạng
Bước 2: Chờ phản hồi</t>
        </is>
      </c>
      <c r="H33" s="27" t="inlineStr">
        <is>
          <t>Bước 1: Ứng dụng thử gửi yêu cầu
Bước 2: Yêu cầu thất bại do timeout hoặc lỗi mạng</t>
        </is>
      </c>
      <c r="I33" s="15" t="n"/>
      <c r="J33" s="15" t="n"/>
      <c r="K33" s="15" t="n"/>
      <c r="L33" s="15" t="n"/>
      <c r="M33" s="15" t="n"/>
      <c r="N33" s="27" t="inlineStr"/>
    </row>
    <row r="34">
      <c r="A34" s="15" t="inlineStr">
        <is>
          <t>TC-022</t>
        </is>
      </c>
      <c r="B34" s="27" t="inlineStr">
        <is>
          <t>Lịch sử trạng thái hiển thị theo thứ tự thời gian</t>
        </is>
      </c>
      <c r="C34" s="15" t="inlineStr">
        <is>
          <t>Trung bình</t>
        </is>
      </c>
      <c r="D34" s="15" t="inlineStr">
        <is>
          <t>Major</t>
        </is>
      </c>
      <c r="E34" s="27" t="inlineStr">
        <is>
          <t>Nhiệm vụ đã được cập nhật trạng thái nhiều lần.</t>
        </is>
      </c>
      <c r="F34" s="27" t="inlineStr"/>
      <c r="G34" s="27" t="inlineStr">
        <is>
          <t>Bước 1: Mở chi tiết nhiệm vụ đã có nhiều lần thay đổi trạng thái
Bước 2: Xem phần lịch sử trạng thái</t>
        </is>
      </c>
      <c r="H34" s="27" t="inlineStr">
        <is>
          <t>Bước 1: Màn hình chi tiết hiển thị
Bước 2: Hiển thị chuỗi trạng thái theo thứ tự: Đã nhận → Đang xử lý → Hoàn thành</t>
        </is>
      </c>
      <c r="I34" s="15" t="n"/>
      <c r="J34" s="15" t="n"/>
      <c r="K34" s="15" t="n"/>
      <c r="L34" s="15" t="n"/>
      <c r="M34" s="15" t="n"/>
      <c r="N34" s="27" t="inlineStr"/>
    </row>
    <row r="35">
      <c r="A35" s="15" t="inlineStr">
        <is>
          <t>TC-023</t>
        </is>
      </c>
      <c r="B35" s="27" t="inlineStr">
        <is>
          <t>Gửi ảnh hiện trường đính kèm vào nhiệm vụ</t>
        </is>
      </c>
      <c r="C35" s="15" t="inlineStr">
        <is>
          <t>Cao</t>
        </is>
      </c>
      <c r="D35" s="15" t="inlineStr">
        <is>
          <t>Major</t>
        </is>
      </c>
      <c r="E35" s="27" t="inlineStr">
        <is>
          <t>Nhân viên đang trong nhiệm vụ status=2, thiết bị có camera, kết nối internet.</t>
        </is>
      </c>
      <c r="F35" s="27" t="inlineStr"/>
      <c r="G35" s="27" t="inlineStr">
        <is>
          <t>Bước 1: Từ chi tiết nhiệm vụ, nhấn nút "Thêm ảnh/video"
Bước 2: Chụp ảnh bằng camera
Bước 3: Xác nhận ảnh đã chụp
Bước 4: Nhấn Gửi / Upload
Bước 5: Chờ kết quả</t>
        </is>
      </c>
      <c r="H35" s="27" t="inlineStr">
        <is>
          <t>Bước 1: Mở tùy chọn: chụp ảnh hoặc chọn từ thư viện
Bước 2: Camera mở, nhân viên chụp ảnh hiện trường
Bước 3: Preview ảnh hiện ra
Bước 4: Ứng dụng gửi POST /tasks/:id/media lên server
Bước 5: Server trả về URL của ảnh đã upload</t>
        </is>
      </c>
      <c r="I35" s="15" t="n"/>
      <c r="J35" s="15" t="n"/>
      <c r="K35" s="15" t="n"/>
      <c r="L35" s="15" t="n"/>
      <c r="M35" s="15" t="n"/>
      <c r="N35" s="27" t="inlineStr"/>
    </row>
    <row r="36">
      <c r="A36" s="15" t="inlineStr">
        <is>
          <t>TC-024</t>
        </is>
      </c>
      <c r="B36" s="27" t="inlineStr">
        <is>
          <t>Tệp upload quá lớn bị từ chối</t>
        </is>
      </c>
      <c r="C36" s="15" t="inlineStr">
        <is>
          <t>Trung bình</t>
        </is>
      </c>
      <c r="D36" s="15" t="inlineStr">
        <is>
          <t>Major</t>
        </is>
      </c>
      <c r="E36" s="27" t="inlineStr">
        <is>
          <t>Nhân viên có tệp ảnh/video quá lớn (ví dụ: video &gt; 100MB).</t>
        </is>
      </c>
      <c r="F36" s="27" t="inlineStr"/>
      <c r="G36" s="27" t="inlineStr">
        <is>
          <t>Bước 1: Chọn tệp quá lớn để upload
Bước 2: Chờ phản hồi</t>
        </is>
      </c>
      <c r="H36" s="27" t="inlineStr">
        <is>
          <t>Bước 1: Ứng dụng kiểm tra kích thước tệp
Bước 2: Hệ thống phát hiện tệp vượt giới hạn</t>
        </is>
      </c>
      <c r="I36" s="15" t="n"/>
      <c r="J36" s="15" t="n"/>
      <c r="K36" s="15" t="n"/>
      <c r="L36" s="15" t="n"/>
      <c r="M36" s="15" t="n"/>
      <c r="N36" s="27" t="inlineStr"/>
    </row>
    <row r="37">
      <c r="A37" s="15" t="inlineStr">
        <is>
          <t>TC-025</t>
        </is>
      </c>
      <c r="B37" s="27" t="inlineStr">
        <is>
          <t>Upload thất bại do mất mạng, thử lại thành công</t>
        </is>
      </c>
      <c r="C37" s="15" t="inlineStr">
        <is>
          <t>Cao</t>
        </is>
      </c>
      <c r="D37" s="15" t="inlineStr">
        <is>
          <t>Major</t>
        </is>
      </c>
      <c r="E37" s="27" t="inlineStr">
        <is>
          <t>Nhân viên đang upload ảnh, mất kết nối internet giữa chừng.</t>
        </is>
      </c>
      <c r="F37" s="27" t="inlineStr"/>
      <c r="G37" s="27" t="inlineStr">
        <is>
          <t>Bước 1: Bắt đầu upload ảnh, mất mạng giữa chừng
Bước 2: Thông báo lỗi xuất hiện
Bước 3: Kết nối mạng được phục hồi, nhấn "Thử lại"
Bước 4: Chờ kết quả</t>
        </is>
      </c>
      <c r="H37" s="27" t="inlineStr">
        <is>
          <t>Bước 1: Upload thất bại
Bước 2: Hiển thị tùy chọn "Thử lại"
Bước 3: Ứng dụng thử upload lại
Bước 4: Upload thành công</t>
        </is>
      </c>
      <c r="I37" s="15" t="n"/>
      <c r="J37" s="15" t="n"/>
      <c r="K37" s="15" t="n"/>
      <c r="L37" s="15" t="n"/>
      <c r="M37" s="15" t="n"/>
      <c r="N37" s="27" t="inlineStr"/>
    </row>
    <row r="38">
      <c r="A38" s="15" t="inlineStr">
        <is>
          <t>TC-026</t>
        </is>
      </c>
      <c r="B38" s="27" t="inlineStr">
        <is>
          <t>Xem bản đồ vị trí sự cố trên nhiệm vụ</t>
        </is>
      </c>
      <c r="C38" s="15" t="inlineStr">
        <is>
          <t>Trung bình</t>
        </is>
      </c>
      <c r="D38" s="15" t="inlineStr">
        <is>
          <t>Major</t>
        </is>
      </c>
      <c r="E38" s="27" t="inlineStr">
        <is>
          <t>Nhân viên đang xem chi tiết nhiệm vụ có tọa độ GPS hợp lệ.</t>
        </is>
      </c>
      <c r="F38" s="27" t="inlineStr"/>
      <c r="G38" s="27" t="inlineStr">
        <is>
          <t>Bước 1: Mở chi tiết nhiệm vụ có tọa độ GPS
Bước 2: Vào phần bản đồ/vị trí
Bước 3: Phóng to/thu nhỏ bản đồ
Bước 4: So sánh vị trí hiện tại với vị trí sự cố</t>
        </is>
      </c>
      <c r="H38" s="27" t="inlineStr">
        <is>
          <t>Bước 1: Màn hình chi tiết hiển thị
Bước 2: Bản đồ hiển thị điểm đánh dấu vị trí sự cố
Bước 3: Bản đồ có thể zoom in/out
Bước 4: Có thể thấy đường đi đến vị trí sự cố</t>
        </is>
      </c>
      <c r="I38" s="15" t="n"/>
      <c r="J38" s="15" t="n"/>
      <c r="K38" s="15" t="n"/>
      <c r="L38" s="15" t="n"/>
      <c r="M38" s="15" t="n"/>
      <c r="N38" s="27" t="inlineStr"/>
    </row>
    <row r="39">
      <c r="A39" s="15" t="inlineStr">
        <is>
          <t>TC-027</t>
        </is>
      </c>
      <c r="B39" s="27" t="inlineStr">
        <is>
          <t>Xem danh sách thông báo sự cố chưa đọc</t>
        </is>
      </c>
      <c r="C39" s="15" t="inlineStr">
        <is>
          <t>Cao</t>
        </is>
      </c>
      <c r="D39" s="15" t="inlineStr">
        <is>
          <t>Major</t>
        </is>
      </c>
      <c r="E39" s="27" t="inlineStr">
        <is>
          <t>Nhân viên đã đăng nhập, có ít nhất 1 thông báo chưa đọc trong hệ thống.</t>
        </is>
      </c>
      <c r="F39" s="27" t="inlineStr"/>
      <c r="G39" s="27" t="inlineStr">
        <is>
          <t>Bước 1: Vào màn hình Thông báo / icon chuông
Bước 2: Xem danh sách
Bước 3: Nhấn vào một thông báo</t>
        </is>
      </c>
      <c r="H39" s="27" t="inlineStr">
        <is>
          <t>Bước 1: Màn hình danh sách thông báo hiển thị
Bước 2: Thông báo chưa đọc được nổi bật (bold/chấm đỏ), có nhãn badge số lượng chưa đọc
Bước 3: Xem nội dung chi tiết thông báo</t>
        </is>
      </c>
      <c r="I39" s="15" t="n"/>
      <c r="J39" s="15" t="n"/>
      <c r="K39" s="15" t="n"/>
      <c r="L39" s="15" t="n"/>
      <c r="M39" s="15" t="n"/>
      <c r="N39" s="27" t="inlineStr"/>
    </row>
    <row r="40">
      <c r="A40" s="15" t="inlineStr">
        <is>
          <t>TC-028</t>
        </is>
      </c>
      <c r="B40" s="27" t="inlineStr">
        <is>
          <t>Đánh dấu thông báo là đã đọc</t>
        </is>
      </c>
      <c r="C40" s="15" t="inlineStr">
        <is>
          <t>Trung bình</t>
        </is>
      </c>
      <c r="D40" s="15" t="inlineStr">
        <is>
          <t>Major</t>
        </is>
      </c>
      <c r="E40" s="27" t="inlineStr">
        <is>
          <t>Nhân viên đang xem danh sách thông báo, có thông báo chưa đọc.</t>
        </is>
      </c>
      <c r="F40" s="27" t="inlineStr"/>
      <c r="G40" s="27" t="inlineStr">
        <is>
          <t>Bước 1: Mở thông báo chưa đọc
Bước 2: Quay lại danh sách
Bước 3: Kiểm tra trạng thái</t>
        </is>
      </c>
      <c r="H40" s="27" t="inlineStr">
        <is>
          <t>Bước 1: Thông báo mở ra, được đánh dấu là đã đọc (PUT /notifications/:id/read)
Bước 2: Số badge giảm đi 1
Bước 3: Thông báo vừa mở không còn highlight "chưa đọc"</t>
        </is>
      </c>
      <c r="I40" s="15" t="n"/>
      <c r="J40" s="15" t="n"/>
      <c r="K40" s="15" t="n"/>
      <c r="L40" s="15" t="n"/>
      <c r="M40" s="15" t="n"/>
      <c r="N40" s="27" t="inlineStr"/>
    </row>
    <row r="41">
      <c r="A41" s="15" t="inlineStr">
        <is>
          <t>TC-029</t>
        </is>
      </c>
      <c r="B41" s="27" t="inlineStr">
        <is>
          <t>Badge đếm thông báo cập nhật đúng khi nhận thông báo mới</t>
        </is>
      </c>
      <c r="C41" s="15" t="inlineStr">
        <is>
          <t>Trung bình</t>
        </is>
      </c>
      <c r="D41" s="15" t="inlineStr">
        <is>
          <t>Major</t>
        </is>
      </c>
      <c r="E41" s="27" t="inlineStr">
        <is>
          <t>Nhân viên đã đăng nhập, ứng dụng đang chạy (foreground hoặc background).</t>
        </is>
      </c>
      <c r="F41" s="27" t="inlineStr"/>
      <c r="G41" s="27" t="inlineStr">
        <is>
          <t>Bước 1: Ứng dụng ở trạng thái bình thường, badge = 0
Bước 2: TMC gửi thông báo mới đến nhân viên
Bước 3: Nhận notification trên thiết bị
Bước 4: Mở thông báo, đọc thông báo</t>
        </is>
      </c>
      <c r="H41" s="27" t="inlineStr">
        <is>
          <t>Bước 1: Badge trên icon thông báo = 0 hoặc ẩn
Bước 2: FCM/APNs gửi push notification
Bước 3: Badge tăng lên 1 (hiển thị số 1 trên icon)
Bước 4: Badge giảm về 0 sau khi đọc</t>
        </is>
      </c>
      <c r="I41" s="15" t="n"/>
      <c r="J41" s="15" t="n"/>
      <c r="K41" s="15" t="n"/>
      <c r="L41" s="15" t="n"/>
      <c r="M41" s="15" t="n"/>
      <c r="N41" s="27" t="inlineStr"/>
    </row>
    <row r="42">
      <c r="A42" s="15" t="inlineStr">
        <is>
          <t>TC-030</t>
        </is>
      </c>
      <c r="B42" s="27" t="inlineStr">
        <is>
          <t>Đăng ký device token khi cài đặt lần đầu</t>
        </is>
      </c>
      <c r="C42" s="15" t="inlineStr">
        <is>
          <t>Cao</t>
        </is>
      </c>
      <c r="D42" s="15" t="inlineStr">
        <is>
          <t>Major</t>
        </is>
      </c>
      <c r="E42" s="27" t="inlineStr">
        <is>
          <t>Người dùng cài đặt ứng dụng lần đầu, chưa đăng nhập.</t>
        </is>
      </c>
      <c r="F42" s="27" t="inlineStr"/>
      <c r="G42" s="27" t="inlineStr">
        <is>
          <t>Bước 1: Mở ứng dụng lần đầu sau khi cài đặt
Bước 2: Chấp nhận quyền thông báo (iOS)
Bước 3: Đăng nhập thành công
Bước 4: Gửi token lên server</t>
        </is>
      </c>
      <c r="H42" s="27" t="inlineStr">
        <is>
          <t>Bước 1: Ứng dụng yêu cầu quyền gửi thông báo (iOS) hoặc tự động (Android)
Bước 2: Hệ thống cấp phép
Bước 3: Ứng dụng lấy FCM/APNs device token
Bước 4: PATCH /users/:id/device-token được gọi với token mới</t>
        </is>
      </c>
      <c r="I42" s="15" t="n"/>
      <c r="J42" s="15" t="n"/>
      <c r="K42" s="15" t="n"/>
      <c r="L42" s="15" t="n"/>
      <c r="M42" s="15" t="n"/>
      <c r="N42" s="27" t="inlineStr"/>
    </row>
    <row r="43">
      <c r="A43" s="32" t="n"/>
      <c r="B43" s="32" t="n"/>
      <c r="C43" s="32" t="n"/>
      <c r="D43" s="32" t="n"/>
      <c r="E43" s="32" t="n"/>
      <c r="F43" s="32" t="n"/>
      <c r="G43" s="32" t="n"/>
      <c r="H43" s="32" t="n"/>
      <c r="I43" s="32" t="n"/>
      <c r="J43" s="32" t="n"/>
      <c r="K43" s="32" t="n"/>
      <c r="L43" s="32" t="n"/>
      <c r="M43" s="32" t="n"/>
      <c r="N43" s="27" t="n"/>
    </row>
    <row r="44">
      <c r="A44" s="32" t="n"/>
      <c r="B44" s="32" t="n"/>
      <c r="C44" s="32" t="n"/>
      <c r="D44" s="32" t="n"/>
      <c r="E44" s="32" t="n"/>
      <c r="F44" s="32" t="n"/>
      <c r="G44" s="32" t="n"/>
      <c r="H44" s="32" t="n"/>
      <c r="I44" s="32" t="n"/>
      <c r="J44" s="32" t="n"/>
      <c r="K44" s="32" t="n"/>
      <c r="L44" s="32" t="n"/>
      <c r="M44" s="32" t="n"/>
      <c r="N44" s="27" t="n"/>
    </row>
    <row r="45">
      <c r="A45" s="32" t="n"/>
      <c r="B45" s="32" t="n"/>
      <c r="C45" s="32" t="n"/>
      <c r="D45" s="32" t="n"/>
      <c r="E45" s="32" t="n"/>
      <c r="F45" s="32" t="n"/>
      <c r="G45" s="32" t="n"/>
      <c r="H45" s="32" t="n"/>
      <c r="I45" s="32" t="n"/>
      <c r="J45" s="32" t="n"/>
      <c r="K45" s="32" t="n"/>
      <c r="L45" s="32" t="n"/>
      <c r="M45" s="32" t="n"/>
      <c r="N45" s="27" t="n"/>
    </row>
    <row r="46">
      <c r="A46" s="32" t="n"/>
      <c r="B46" s="32" t="n"/>
      <c r="C46" s="32" t="n"/>
      <c r="D46" s="32" t="n"/>
      <c r="E46" s="32" t="n"/>
      <c r="F46" s="32" t="n"/>
      <c r="G46" s="32" t="n"/>
      <c r="H46" s="32" t="n"/>
      <c r="I46" s="32" t="n"/>
      <c r="J46" s="32" t="n"/>
      <c r="K46" s="32" t="n"/>
      <c r="L46" s="32" t="n"/>
      <c r="M46" s="32" t="n"/>
      <c r="N46" s="27" t="n"/>
    </row>
    <row r="47">
      <c r="A47" s="32" t="n"/>
      <c r="B47" s="32" t="n"/>
      <c r="C47" s="32" t="n"/>
      <c r="D47" s="32" t="n"/>
      <c r="E47" s="32" t="n"/>
      <c r="F47" s="32" t="n"/>
      <c r="G47" s="32" t="n"/>
      <c r="H47" s="32" t="n"/>
      <c r="I47" s="32" t="n"/>
      <c r="J47" s="32" t="n"/>
      <c r="K47" s="32" t="n"/>
      <c r="L47" s="32" t="n"/>
      <c r="M47" s="32" t="n"/>
      <c r="N47" s="27" t="n"/>
    </row>
    <row r="48">
      <c r="A48" s="32" t="n"/>
      <c r="B48" s="32" t="n"/>
      <c r="C48" s="32" t="n"/>
      <c r="D48" s="32" t="n"/>
      <c r="E48" s="32" t="n"/>
      <c r="F48" s="32" t="n"/>
      <c r="G48" s="32" t="n"/>
      <c r="H48" s="32" t="n"/>
      <c r="I48" s="32" t="n"/>
      <c r="J48" s="32" t="n"/>
      <c r="K48" s="32" t="n"/>
      <c r="L48" s="32" t="n"/>
      <c r="M48" s="32" t="n"/>
      <c r="N48" s="27" t="n"/>
    </row>
    <row r="49">
      <c r="A49" s="32" t="n"/>
      <c r="B49" s="32" t="n"/>
      <c r="C49" s="32" t="n"/>
      <c r="D49" s="32" t="n"/>
      <c r="E49" s="32" t="n"/>
      <c r="F49" s="32" t="n"/>
      <c r="G49" s="32" t="n"/>
      <c r="H49" s="32" t="n"/>
      <c r="I49" s="32" t="n"/>
      <c r="J49" s="32" t="n"/>
      <c r="K49" s="32" t="n"/>
      <c r="L49" s="32" t="n"/>
      <c r="M49" s="32" t="n"/>
      <c r="N49" s="27" t="n"/>
    </row>
    <row r="50">
      <c r="A50" s="32" t="n"/>
      <c r="B50" s="32" t="n"/>
      <c r="C50" s="32" t="n"/>
      <c r="D50" s="32" t="n"/>
      <c r="E50" s="32" t="n"/>
      <c r="F50" s="32" t="n"/>
      <c r="G50" s="32" t="n"/>
      <c r="H50" s="32" t="n"/>
      <c r="I50" s="32" t="n"/>
      <c r="J50" s="32" t="n"/>
      <c r="K50" s="32" t="n"/>
      <c r="L50" s="32" t="n"/>
      <c r="M50" s="32" t="n"/>
      <c r="N50" s="27" t="n"/>
    </row>
    <row r="51">
      <c r="A51" s="32" t="n"/>
      <c r="B51" s="32" t="n"/>
      <c r="C51" s="32" t="n"/>
      <c r="D51" s="32" t="n"/>
      <c r="E51" s="32" t="n"/>
      <c r="F51" s="32" t="n"/>
      <c r="G51" s="32" t="n"/>
      <c r="H51" s="32" t="n"/>
      <c r="I51" s="32" t="n"/>
      <c r="J51" s="32" t="n"/>
      <c r="K51" s="32" t="n"/>
      <c r="L51" s="32" t="n"/>
      <c r="M51" s="32" t="n"/>
      <c r="N51" s="27" t="n"/>
    </row>
    <row r="52">
      <c r="A52" s="32" t="n"/>
      <c r="B52" s="32" t="n"/>
      <c r="C52" s="32" t="n"/>
      <c r="D52" s="32" t="n"/>
      <c r="E52" s="32" t="n"/>
      <c r="F52" s="32" t="n"/>
      <c r="G52" s="32" t="n"/>
      <c r="H52" s="32" t="n"/>
      <c r="I52" s="32" t="n"/>
      <c r="J52" s="32" t="n"/>
      <c r="K52" s="32" t="n"/>
      <c r="L52" s="32" t="n"/>
      <c r="M52" s="32" t="n"/>
      <c r="N52" s="27" t="n"/>
    </row>
    <row r="53">
      <c r="A53" s="32" t="n"/>
      <c r="B53" s="32" t="n"/>
      <c r="C53" s="32" t="n"/>
      <c r="D53" s="32" t="n"/>
      <c r="E53" s="32" t="n"/>
      <c r="F53" s="32" t="n"/>
      <c r="G53" s="32" t="n"/>
      <c r="H53" s="32" t="n"/>
      <c r="I53" s="32" t="n"/>
      <c r="J53" s="32" t="n"/>
      <c r="K53" s="32" t="n"/>
      <c r="L53" s="32" t="n"/>
      <c r="M53" s="32" t="n"/>
      <c r="N53" s="27" t="n"/>
    </row>
    <row r="54">
      <c r="A54" s="32" t="n"/>
      <c r="B54" s="32" t="n"/>
      <c r="C54" s="32" t="n"/>
      <c r="D54" s="32" t="n"/>
      <c r="E54" s="32" t="n"/>
      <c r="F54" s="32" t="n"/>
      <c r="G54" s="32" t="n"/>
      <c r="H54" s="32" t="n"/>
      <c r="I54" s="32" t="n"/>
      <c r="J54" s="32" t="n"/>
      <c r="K54" s="32" t="n"/>
      <c r="L54" s="32" t="n"/>
      <c r="M54" s="32" t="n"/>
      <c r="N54" s="27" t="n"/>
    </row>
    <row r="55">
      <c r="A55" s="32" t="n"/>
      <c r="B55" s="32" t="n"/>
      <c r="C55" s="32" t="n"/>
      <c r="D55" s="32" t="n"/>
      <c r="E55" s="32" t="n"/>
      <c r="F55" s="32" t="n"/>
      <c r="G55" s="32" t="n"/>
      <c r="H55" s="32" t="n"/>
      <c r="I55" s="32" t="n"/>
      <c r="J55" s="32" t="n"/>
      <c r="K55" s="32" t="n"/>
      <c r="L55" s="32" t="n"/>
      <c r="M55" s="32" t="n"/>
      <c r="N55" s="27" t="n"/>
    </row>
    <row r="56">
      <c r="A56" s="32" t="n"/>
      <c r="B56" s="32" t="n"/>
      <c r="C56" s="32" t="n"/>
      <c r="D56" s="32" t="n"/>
      <c r="E56" s="32" t="n"/>
      <c r="F56" s="32" t="n"/>
      <c r="G56" s="32" t="n"/>
      <c r="H56" s="32" t="n"/>
      <c r="I56" s="32" t="n"/>
      <c r="J56" s="32" t="n"/>
      <c r="K56" s="32" t="n"/>
      <c r="L56" s="32" t="n"/>
      <c r="M56" s="32" t="n"/>
      <c r="N56" s="27" t="n"/>
    </row>
    <row r="57">
      <c r="A57" s="32" t="n"/>
      <c r="B57" s="32" t="n"/>
      <c r="C57" s="32" t="n"/>
      <c r="D57" s="32" t="n"/>
      <c r="E57" s="32" t="n"/>
      <c r="F57" s="32" t="n"/>
      <c r="G57" s="32" t="n"/>
      <c r="H57" s="32" t="n"/>
      <c r="I57" s="32" t="n"/>
      <c r="J57" s="32" t="n"/>
      <c r="K57" s="32" t="n"/>
      <c r="L57" s="32" t="n"/>
      <c r="M57" s="32" t="n"/>
      <c r="N57" s="27" t="n"/>
    </row>
    <row r="58">
      <c r="A58" s="32" t="n"/>
      <c r="B58" s="32" t="n"/>
      <c r="C58" s="32" t="n"/>
      <c r="D58" s="32" t="n"/>
      <c r="E58" s="32" t="n"/>
      <c r="F58" s="32" t="n"/>
      <c r="G58" s="32" t="n"/>
      <c r="H58" s="32" t="n"/>
      <c r="I58" s="32" t="n"/>
      <c r="J58" s="32" t="n"/>
      <c r="K58" s="32" t="n"/>
      <c r="L58" s="32" t="n"/>
      <c r="M58" s="32" t="n"/>
      <c r="N58" s="27" t="n"/>
    </row>
    <row r="59">
      <c r="A59" s="32" t="n"/>
      <c r="B59" s="32" t="n"/>
      <c r="C59" s="32" t="n"/>
      <c r="D59" s="32" t="n"/>
      <c r="E59" s="32" t="n"/>
      <c r="F59" s="32" t="n"/>
      <c r="G59" s="32" t="n"/>
      <c r="H59" s="32" t="n"/>
      <c r="I59" s="32" t="n"/>
      <c r="J59" s="32" t="n"/>
      <c r="K59" s="32" t="n"/>
      <c r="L59" s="32" t="n"/>
      <c r="M59" s="32" t="n"/>
      <c r="N59" s="27" t="n"/>
    </row>
    <row r="60">
      <c r="A60" s="32" t="n"/>
      <c r="B60" s="32" t="n"/>
      <c r="C60" s="32" t="n"/>
      <c r="D60" s="32" t="n"/>
      <c r="E60" s="32" t="n"/>
      <c r="F60" s="32" t="n"/>
      <c r="G60" s="32" t="n"/>
      <c r="H60" s="32" t="n"/>
      <c r="I60" s="32" t="n"/>
      <c r="J60" s="32" t="n"/>
      <c r="K60" s="32" t="n"/>
      <c r="L60" s="32" t="n"/>
      <c r="M60" s="32" t="n"/>
      <c r="N60" s="27" t="n"/>
    </row>
    <row r="61">
      <c r="A61" s="32" t="n"/>
      <c r="B61" s="32" t="n"/>
      <c r="C61" s="32" t="n"/>
      <c r="D61" s="32" t="n"/>
      <c r="E61" s="32" t="n"/>
      <c r="F61" s="32" t="n"/>
      <c r="G61" s="32" t="n"/>
      <c r="H61" s="32" t="n"/>
      <c r="I61" s="32" t="n"/>
      <c r="J61" s="32" t="n"/>
      <c r="K61" s="32" t="n"/>
      <c r="L61" s="32" t="n"/>
      <c r="M61" s="32" t="n"/>
      <c r="N61" s="27" t="n"/>
    </row>
    <row r="62">
      <c r="A62" s="32" t="n"/>
      <c r="B62" s="32" t="n"/>
      <c r="C62" s="32" t="n"/>
      <c r="D62" s="32" t="n"/>
      <c r="E62" s="32" t="n"/>
      <c r="F62" s="32" t="n"/>
      <c r="G62" s="32" t="n"/>
      <c r="H62" s="32" t="n"/>
      <c r="I62" s="32" t="n"/>
      <c r="J62" s="32" t="n"/>
      <c r="K62" s="32" t="n"/>
      <c r="L62" s="32" t="n"/>
      <c r="M62" s="32" t="n"/>
      <c r="N62" s="27" t="n"/>
    </row>
    <row r="63"/>
  </sheetData>
  <autoFilter ref="A12:N12"/>
  <mergeCells count="16">
    <mergeCell ref="H11:H12"/>
    <mergeCell ref="K11:L11"/>
    <mergeCell ref="N11:N12"/>
    <mergeCell ref="B4:N4"/>
    <mergeCell ref="I11:J11"/>
    <mergeCell ref="M11:M12"/>
    <mergeCell ref="B11:B12"/>
    <mergeCell ref="C11:C12"/>
    <mergeCell ref="D11:D12"/>
    <mergeCell ref="G11:G12"/>
    <mergeCell ref="E11:E12"/>
    <mergeCell ref="B3:N3"/>
    <mergeCell ref="B2:N2"/>
    <mergeCell ref="A11:A12"/>
    <mergeCell ref="F11:F12"/>
    <mergeCell ref="A1:N1"/>
  </mergeCells>
  <conditionalFormatting sqref="I13:I1000">
    <cfRule type="cellIs" priority="1" operator="equal" dxfId="0" stopIfTrue="0">
      <formula>"Pass"</formula>
    </cfRule>
    <cfRule type="cellIs" priority="2" operator="equal" dxfId="1" stopIfTrue="0">
      <formula>"Fail"</formula>
    </cfRule>
    <cfRule type="cellIs" priority="3" operator="equal" dxfId="2" stopIfTrue="0">
      <formula>"Blocked"</formula>
    </cfRule>
    <cfRule type="cellIs" priority="4" operator="equal" dxfId="3" stopIfTrue="0">
      <formula>"N/A"</formula>
    </cfRule>
    <cfRule type="cellIs" priority="5" operator="equal" dxfId="4" stopIfTrue="0">
      <formula>"Not-Run"</formula>
    </cfRule>
  </conditionalFormatting>
  <conditionalFormatting sqref="K13:K1000">
    <cfRule type="cellIs" priority="11" operator="equal" dxfId="0" stopIfTrue="0">
      <formula>"Pass"</formula>
    </cfRule>
    <cfRule type="cellIs" priority="12" operator="equal" dxfId="1" stopIfTrue="0">
      <formula>"Fail"</formula>
    </cfRule>
    <cfRule type="cellIs" priority="13" operator="equal" dxfId="2" stopIfTrue="0">
      <formula>"Blocked"</formula>
    </cfRule>
    <cfRule type="cellIs" priority="14" operator="equal" dxfId="3" stopIfTrue="0">
      <formula>"N/A"</formula>
    </cfRule>
    <cfRule type="cellIs" priority="15" operator="equal" dxfId="4" stopIfTrue="0">
      <formula>"Not-Run"</formula>
    </cfRule>
  </conditionalFormatting>
  <conditionalFormatting sqref="J13:J1000">
    <cfRule type="cellIs" priority="21" operator="equal" dxfId="1" stopIfTrue="0">
      <formula>"Open"</formula>
    </cfRule>
    <cfRule type="cellIs" priority="22" operator="equal" dxfId="2" stopIfTrue="0">
      <formula>"In-Progress"</formula>
    </cfRule>
    <cfRule type="cellIs" priority="23" operator="equal" dxfId="1" stopIfTrue="0">
      <formula>"Re-Open"</formula>
    </cfRule>
    <cfRule type="cellIs" priority="24" operator="equal" dxfId="0" stopIfTrue="0">
      <formula>"Closed"</formula>
    </cfRule>
    <cfRule type="cellIs" priority="25" operator="equal" dxfId="0" stopIfTrue="0">
      <formula>"Resolved"</formula>
    </cfRule>
  </conditionalFormatting>
  <conditionalFormatting sqref="L13:L1000">
    <cfRule type="cellIs" priority="31" operator="equal" dxfId="1" stopIfTrue="0">
      <formula>"Open"</formula>
    </cfRule>
    <cfRule type="cellIs" priority="32" operator="equal" dxfId="2" stopIfTrue="0">
      <formula>"In-Progress"</formula>
    </cfRule>
    <cfRule type="cellIs" priority="33" operator="equal" dxfId="1" stopIfTrue="0">
      <formula>"Re-Open"</formula>
    </cfRule>
    <cfRule type="cellIs" priority="34" operator="equal" dxfId="0" stopIfTrue="0">
      <formula>"Closed"</formula>
    </cfRule>
    <cfRule type="cellIs" priority="35" operator="equal" dxfId="0" stopIfTrue="0">
      <formula>"Resolved"</formula>
    </cfRule>
  </conditionalFormatting>
  <conditionalFormatting sqref="C13:C1000">
    <cfRule type="cellIs" priority="41" operator="equal" dxfId="5" stopIfTrue="0">
      <formula>"Rất cao"</formula>
    </cfRule>
    <cfRule type="cellIs" priority="42" operator="equal" dxfId="6" stopIfTrue="0">
      <formula>"Cao"</formula>
    </cfRule>
    <cfRule type="cellIs" priority="43" operator="equal" dxfId="7" stopIfTrue="0">
      <formula>"Trung bình"</formula>
    </cfRule>
    <cfRule type="cellIs" priority="44" operator="equal" dxfId="8" stopIfTrue="0">
      <formula>"Thấp"</formula>
    </cfRule>
  </conditionalFormatting>
  <conditionalFormatting sqref="D13:D1000">
    <cfRule type="cellIs" priority="51" operator="equal" dxfId="5" stopIfTrue="0">
      <formula>"Blocker"</formula>
    </cfRule>
    <cfRule type="cellIs" priority="52" operator="equal" dxfId="6" stopIfTrue="0">
      <formula>"Major"</formula>
    </cfRule>
    <cfRule type="cellIs" priority="53" operator="equal" dxfId="7" stopIfTrue="0">
      <formula>"Minor"</formula>
    </cfRule>
    <cfRule type="cellIs" priority="54" operator="equal" dxfId="9" stopIfTrue="0">
      <formula>"Trivial"</formula>
    </cfRule>
  </conditionalFormatting>
  <dataValidations count="4">
    <dataValidation sqref="C13:C42" showDropDown="0" showInputMessage="0" showErrorMessage="0" allowBlank="1" type="list">
      <formula1>'_Tra cứu'!$E$2:$E$20</formula1>
    </dataValidation>
    <dataValidation sqref="D13:D42" showDropDown="0" showInputMessage="0" showErrorMessage="0" allowBlank="1" type="list">
      <formula1>'_Tra cứu'!$F$2:$F$20</formula1>
    </dataValidation>
    <dataValidation sqref="I13:I42 K13:K42" showDropDown="0" showInputMessage="0" showErrorMessage="0" allowBlank="1" type="list">
      <formula1>'_Tra cứu'!$G$2:$G$20</formula1>
    </dataValidation>
    <dataValidation sqref="J13:J42 L13:L42" showDropDown="0" showInputMessage="0" showErrorMessage="0" allowBlank="1" type="list">
      <formula1>'_Tra cứu'!$H$2:$H$20</formula1>
    </dataValidation>
  </dataValidations>
  <printOptions horizontalCentered="1"/>
  <pageMargins left="0.4" right="0.4" top="0.5" bottom="0.5" header="0.2" footer="0.2"/>
  <pageSetup orientation="landscape" paperSize="9" fitToHeight="0" fitToWidth="1"/>
  <headerFooter>
    <oddHeader/>
    <oddFooter>&amp;C&amp;"Times New Roman"&amp;9 Trang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N63"/>
  <sheetViews>
    <sheetView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8" customWidth="1" min="2" max="2"/>
    <col width="12" customWidth="1" min="3" max="3"/>
    <col width="13" customWidth="1" min="4" max="4"/>
    <col width="28" customWidth="1" min="5" max="5"/>
    <col width="22" customWidth="1" min="6" max="6"/>
    <col width="50" customWidth="1" min="7" max="7"/>
    <col width="50" customWidth="1" min="8" max="8"/>
    <col width="11" customWidth="1" min="9" max="9"/>
    <col width="13" customWidth="1" min="10" max="10"/>
    <col width="11" customWidth="1" min="11" max="11"/>
    <col width="13" customWidth="1" min="12" max="12"/>
    <col width="11" customWidth="1" min="13" max="13"/>
    <col width="22" customWidth="1" min="14" max="14"/>
  </cols>
  <sheetData>
    <row r="1" ht="30" customHeight="1">
      <c r="A1" s="13" t="inlineStr">
        <is>
          <t>TÊN API</t>
        </is>
      </c>
      <c r="B1" s="29" t="n"/>
      <c r="C1" s="29" t="n"/>
      <c r="D1" s="29" t="n"/>
      <c r="E1" s="29" t="n"/>
      <c r="F1" s="29" t="n"/>
      <c r="G1" s="29" t="n"/>
      <c r="H1" s="29" t="n"/>
      <c r="I1" s="29" t="n"/>
      <c r="J1" s="29" t="n"/>
      <c r="K1" s="29" t="n"/>
      <c r="L1" s="29" t="n"/>
      <c r="M1" s="29" t="n"/>
      <c r="N1" s="30" t="n"/>
    </row>
    <row r="2">
      <c r="A2" s="26" t="inlineStr">
        <is>
          <t>Tên hệ thống:</t>
        </is>
      </c>
      <c r="B2" s="14" t="inlineStr">
        <is>
          <t>ITS Mobile VEC — Ứng dụng di động vận hành ITS tuyến Nội Bài – Lào Cai</t>
        </is>
      </c>
      <c r="C2" s="29" t="n"/>
      <c r="D2" s="29" t="n"/>
      <c r="E2" s="29" t="n"/>
      <c r="F2" s="29" t="n"/>
      <c r="G2" s="29" t="n"/>
      <c r="H2" s="29" t="n"/>
      <c r="I2" s="29" t="n"/>
      <c r="J2" s="29" t="n"/>
      <c r="K2" s="29" t="n"/>
      <c r="L2" s="29" t="n"/>
      <c r="M2" s="29" t="n"/>
      <c r="N2" s="30" t="n"/>
    </row>
    <row r="3">
      <c r="A3" s="26" t="inlineStr">
        <is>
          <t>Phiên bản:</t>
        </is>
      </c>
      <c r="B3" s="14" t="inlineStr">
        <is>
          <t>1.0</t>
        </is>
      </c>
      <c r="C3" s="29" t="n"/>
      <c r="D3" s="29" t="n"/>
      <c r="E3" s="29" t="n"/>
      <c r="F3" s="29" t="n"/>
      <c r="G3" s="29" t="n"/>
      <c r="H3" s="29" t="n"/>
      <c r="I3" s="29" t="n"/>
      <c r="J3" s="29" t="n"/>
      <c r="K3" s="29" t="n"/>
      <c r="L3" s="29" t="n"/>
      <c r="M3" s="29" t="n"/>
      <c r="N3" s="30" t="n"/>
    </row>
    <row r="4">
      <c r="A4" s="26" t="inlineStr">
        <is>
          <t>Người chuẩn bị:</t>
        </is>
      </c>
      <c r="B4" s="14" t="inlineStr">
        <is>
          <t>[CẦN BỔ SUNG: Tester]</t>
        </is>
      </c>
      <c r="C4" s="29" t="n"/>
      <c r="D4" s="29" t="n"/>
      <c r="E4" s="29" t="n"/>
      <c r="F4" s="29" t="n"/>
      <c r="G4" s="29" t="n"/>
      <c r="H4" s="29" t="n"/>
      <c r="I4" s="29" t="n"/>
      <c r="J4" s="29" t="n"/>
      <c r="K4" s="29" t="n"/>
      <c r="L4" s="29" t="n"/>
      <c r="M4" s="29" t="n"/>
      <c r="N4" s="30" t="n"/>
    </row>
    <row r="11" ht="26" customHeight="1">
      <c r="A11" s="7" t="inlineStr">
        <is>
          <t>Mã TC</t>
        </is>
      </c>
      <c r="B11" s="7" t="inlineStr">
        <is>
          <t>Mục đích</t>
        </is>
      </c>
      <c r="C11" s="7" t="inlineStr">
        <is>
          <t>Mức ưu tiên</t>
        </is>
      </c>
      <c r="D11" s="7" t="inlineStr">
        <is>
          <t>Mức nghiêm trọng</t>
        </is>
      </c>
      <c r="E11" s="7" t="inlineStr">
        <is>
          <t>Tiền điều kiện</t>
        </is>
      </c>
      <c r="F11" s="7" t="inlineStr">
        <is>
          <t>Dữ liệu test</t>
        </is>
      </c>
      <c r="G11" s="7" t="inlineStr">
        <is>
          <t>Các bước thực hiện</t>
        </is>
      </c>
      <c r="H11" s="7" t="inlineStr">
        <is>
          <t>Kết quả mong đợi</t>
        </is>
      </c>
      <c r="I11" s="7" t="inlineStr">
        <is>
          <t>Kết quả lần 1</t>
        </is>
      </c>
      <c r="J11" s="30" t="n"/>
      <c r="K11" s="7" t="inlineStr">
        <is>
          <t>Kết quả lần 2</t>
        </is>
      </c>
      <c r="L11" s="30" t="n"/>
      <c r="M11" s="7" t="inlineStr">
        <is>
          <t>ID Bug</t>
        </is>
      </c>
      <c r="N11" s="7" t="inlineStr">
        <is>
          <t>Ghi chú</t>
        </is>
      </c>
    </row>
    <row r="12" ht="24" customHeight="1">
      <c r="A12" s="31" t="n"/>
      <c r="B12" s="31" t="n"/>
      <c r="C12" s="31" t="n"/>
      <c r="D12" s="31" t="n"/>
      <c r="E12" s="31" t="n"/>
      <c r="F12" s="31" t="n"/>
      <c r="G12" s="31" t="n"/>
      <c r="H12" s="31" t="n"/>
      <c r="I12" s="7" t="inlineStr">
        <is>
          <t>Kết quả</t>
        </is>
      </c>
      <c r="J12" s="7" t="inlineStr">
        <is>
          <t>Trạng thái</t>
        </is>
      </c>
      <c r="K12" s="7" t="inlineStr">
        <is>
          <t>Kết quả</t>
        </is>
      </c>
      <c r="L12" s="7" t="inlineStr">
        <is>
          <t>Trạng thái</t>
        </is>
      </c>
      <c r="M12" s="31" t="n"/>
      <c r="N12" s="31" t="n"/>
    </row>
    <row r="13">
      <c r="A13" s="15" t="inlineStr">
        <is>
          <t>TC-API-001</t>
        </is>
      </c>
      <c r="B13" s="27" t="inlineStr">
        <is>
          <t>[GET /api/tasks] Lấy danh sách nhiệm vụ của nhân viên — trả về 200</t>
        </is>
      </c>
      <c r="C13" s="15" t="inlineStr">
        <is>
          <t>Rất cao</t>
        </is>
      </c>
      <c r="D13" s="15" t="inlineStr">
        <is>
          <t>Nhân viên đã đăng nhập, JWT hợp lệ. Có ít nhất 1 nhiệm vụ trong DB.</t>
        </is>
      </c>
      <c r="E13" s="27" t="inlineStr">
        <is>
          <t>Authorization: Bearer &lt;JWT-hợp-lệ&gt;</t>
        </is>
      </c>
      <c r="F13" s="27" t="inlineStr">
        <is>
          <t>Bước 1: Gửi GET /api/tasks với header Authorization: Bearer &lt;JWT&gt;
Bước 2: Server truy vấn DB lấy danh sách nhiệm vụ của nhân viên
Bước 3: Kiểm tra HTTP status code của response
Bước 4: Kiểm tra body response</t>
        </is>
      </c>
      <c r="G13" s="27" t="inlineStr">
        <is>
          <t>Bước 1: Server nhận yêu cầu HTTP
Bước 2: Truy vấn thành công
Bước 3: Status code là 200 OK
Bước 4: Body chứa mảng tasks[], mỗi item có: id, title, status, created_at, location</t>
        </is>
      </c>
      <c r="H13" s="27" t="n"/>
      <c r="I13" s="15" t="n"/>
      <c r="J13" s="15" t="n"/>
      <c r="K13" s="15" t="n"/>
      <c r="L13" s="15" t="n"/>
      <c r="M13" s="15" t="inlineStr"/>
      <c r="N13" s="27" t="n"/>
    </row>
    <row r="14">
      <c r="A14" s="15" t="inlineStr">
        <is>
          <t>TC-API-002</t>
        </is>
      </c>
      <c r="B14" s="27" t="inlineStr">
        <is>
          <t>[GET /api/tasks/:id] Lấy chi tiết nhiệm vụ theo ID hợp lệ — trả về 200</t>
        </is>
      </c>
      <c r="C14" s="15" t="inlineStr">
        <is>
          <t>Cao</t>
        </is>
      </c>
      <c r="D14" s="15" t="inlineStr">
        <is>
          <t>Nhân viên đã đăng nhập, JWT hợp lệ. Nhiệm vụ ID=123 tồn tại trong DB.</t>
        </is>
      </c>
      <c r="E14" s="27" t="inlineStr">
        <is>
          <t>Authorization: Bearer &lt;JWT&gt;; task_id=123</t>
        </is>
      </c>
      <c r="F14" s="27" t="inlineStr">
        <is>
          <t>Bước 1: Gửi GET /api/tasks/123 với header Authorization hợp lệ
Bước 2: Server tìm nhiệm vụ id=123 trong DB
Bước 3: Kiểm tra HTTP status code
Bước 4: Kiểm tra body response chứa đầy đủ trường chi tiết</t>
        </is>
      </c>
      <c r="G14" s="27" t="inlineStr">
        <is>
          <t>Bước 1: Server nhận yêu cầu
Bước 2: Tìm thấy bản ghi
Bước 3: Status 200 OK
Bước 4: Body chứa: id, title, description, status, location, media[], history[]</t>
        </is>
      </c>
      <c r="H14" s="27" t="n"/>
      <c r="I14" s="15" t="n"/>
      <c r="J14" s="15" t="n"/>
      <c r="K14" s="15" t="n"/>
      <c r="L14" s="15" t="n"/>
      <c r="M14" s="15" t="inlineStr"/>
      <c r="N14" s="27" t="n"/>
    </row>
    <row r="15">
      <c r="A15" s="15" t="inlineStr">
        <is>
          <t>TC-API-003</t>
        </is>
      </c>
      <c r="B15" s="27" t="inlineStr">
        <is>
          <t>[GET /api/tasks/:id] Nhiệm vụ không tồn tại — trả về 404</t>
        </is>
      </c>
      <c r="C15" s="15" t="inlineStr">
        <is>
          <t>Trung bình</t>
        </is>
      </c>
      <c r="D15" s="15" t="inlineStr">
        <is>
          <t>Nhân viên đã đăng nhập, JWT hợp lệ. ID=99999 KHÔNG tồn tại trong DB.</t>
        </is>
      </c>
      <c r="E15" s="27" t="inlineStr">
        <is>
          <t>Authorization: Bearer &lt;JWT&gt;; task_id=99999</t>
        </is>
      </c>
      <c r="F15" s="27" t="inlineStr">
        <is>
          <t>Bước 1: Gửi GET /api/tasks/99999 với JWT hợp lệ
Bước 2: Server tìm ID 99999 trong DB, không tìm thấy
Bước 3: Kiểm tra HTTP status code
Bước 4: Kiểm tra body lỗi</t>
        </is>
      </c>
      <c r="G15" s="27" t="inlineStr">
        <is>
          <t>Bước 1: Server nhận yêu cầu
Bước 2: Server trả về lỗi not found
Bước 3: Status 404 Not Found
Bước 4: Body chứa { error: "not_found", message: "..." }</t>
        </is>
      </c>
      <c r="H15" s="27" t="n"/>
      <c r="I15" s="15" t="n"/>
      <c r="J15" s="15" t="n"/>
      <c r="K15" s="15" t="n"/>
      <c r="L15" s="15" t="n"/>
      <c r="M15" s="15" t="inlineStr"/>
      <c r="N15" s="27" t="n"/>
    </row>
    <row r="16">
      <c r="A16" s="15" t="inlineStr">
        <is>
          <t>TC-API-004</t>
        </is>
      </c>
      <c r="B16" s="27" t="inlineStr">
        <is>
          <t>[PATCH /api/tasks/:id/status] Cập nhật trạng thái nhiệm vụ thành công — trả về 200</t>
        </is>
      </c>
      <c r="C16" s="15" t="inlineStr">
        <is>
          <t>Rất cao</t>
        </is>
      </c>
      <c r="D16" s="15" t="inlineStr">
        <is>
          <t>Nhân viên đã đăng nhập, JWT hợp lệ. Nhiệm vụ ID=123 tồn tại với trạng thái hiện tại là 1 (Đã nhận).</t>
        </is>
      </c>
      <c r="E16" s="27" t="inlineStr">
        <is>
          <t>Authorization: Bearer &lt;JWT&gt;; task_id=123; body: { "status": 2 }</t>
        </is>
      </c>
      <c r="F16" s="27" t="inlineStr">
        <is>
          <t>Bước 1: Gửi PATCH /api/tasks/123/status với body {"status": 2} và JWT
Bước 2: Server cập nhật DB, ghi nhận timestamp thay đổi
Bước 3: Kiểm tra HTTP status code
Bước 4: Kiểm tra body response</t>
        </is>
      </c>
      <c r="G16" s="27" t="inlineStr">
        <is>
          <t>Bước 1: Server nhận yêu cầu
Bước 2: Cập nhật thành công
Bước 3: Status 200 OK
Bước 4: Body chứa: { id: 123, status: 2, updated_at: "&lt;ISO-timestamp&gt;" }</t>
        </is>
      </c>
      <c r="H16" s="27" t="n"/>
      <c r="I16" s="15" t="n"/>
      <c r="J16" s="15" t="n"/>
      <c r="K16" s="15" t="n"/>
      <c r="L16" s="15" t="n"/>
      <c r="M16" s="15" t="inlineStr"/>
      <c r="N16" s="27" t="n"/>
    </row>
    <row r="17">
      <c r="A17" s="15" t="inlineStr">
        <is>
          <t>TC-API-005</t>
        </is>
      </c>
      <c r="B17" s="27" t="inlineStr">
        <is>
          <t>[POST /api/tasks/:id/media] Upload ảnh hiện trường thành công — trả về 201</t>
        </is>
      </c>
      <c r="C17" s="15" t="inlineStr">
        <is>
          <t>Cao</t>
        </is>
      </c>
      <c r="D17" s="15" t="inlineStr">
        <is>
          <t>Nhân viên đã đăng nhập, JWT hợp lệ. Nhiệm vụ ID=123 tồn tại với status=2. Tệp ảnh JPEG kích thước hợp lệ (&lt; 10MB).</t>
        </is>
      </c>
      <c r="E17" s="27" t="inlineStr">
        <is>
          <t>Authorization: Bearer &lt;JWT&gt;; task_id=123; multipart file: image.jpg (2MB, JPEG)</t>
        </is>
      </c>
      <c r="F17" s="27" t="inlineStr">
        <is>
          <t>Bước 1: Gửi POST /api/tasks/123/media với Content-Type: multipart/form-data, đính kèm image.jpg
Bước 2: Server lưu tệp vào storage, tạo bản ghi media trong DB
Bước 3: Kiểm tra HTTP status code
Bước 4: Kiểm tra body response</t>
        </is>
      </c>
      <c r="G17" s="27" t="inlineStr">
        <is>
          <t>Bước 1: Server nhận tệp upload
Bước 2: Xử lý thành công
Bước 3: Status 201 Created
Bước 4: Body chứa: { media_id, url, type: "image", created_at }</t>
        </is>
      </c>
      <c r="H17" s="27" t="n"/>
      <c r="I17" s="15" t="n"/>
      <c r="J17" s="15" t="n"/>
      <c r="K17" s="15" t="n"/>
      <c r="L17" s="15" t="n"/>
      <c r="M17" s="15" t="inlineStr"/>
      <c r="N17" s="27" t="n"/>
    </row>
    <row r="18">
      <c r="A18" s="15" t="inlineStr">
        <is>
          <t>TC-API-006</t>
        </is>
      </c>
      <c r="B18" s="27" t="inlineStr">
        <is>
          <t>[GET /api/notifications] Lấy danh sách thông báo — trả về 200</t>
        </is>
      </c>
      <c r="C18" s="15" t="inlineStr">
        <is>
          <t>Cao</t>
        </is>
      </c>
      <c r="D18" s="15" t="inlineStr">
        <is>
          <t>Nhân viên đã đăng nhập, JWT hợp lệ. Có ít nhất 1 thông báo trong DB.</t>
        </is>
      </c>
      <c r="E18" s="27" t="inlineStr">
        <is>
          <t>Authorization: Bearer &lt;JWT&gt;</t>
        </is>
      </c>
      <c r="F18" s="27" t="inlineStr">
        <is>
          <t>Bước 1: Gửi GET /api/notifications với JWT hợp lệ
Bước 2: Server lấy danh sách thông báo của nhân viên từ DB
Bước 3: Kiểm tra HTTP status code
Bước 4: Kiểm tra body response</t>
        </is>
      </c>
      <c r="G18" s="27" t="inlineStr">
        <is>
          <t>Bước 1: Server nhận yêu cầu
Bước 2: Truy vấn thành công
Bước 3: Status 200 OK
Bước 4: Body chứa: { notifications: [...], unread_count: N }, mỗi item có: id, title, body, read, created_at</t>
        </is>
      </c>
      <c r="H18" s="27" t="n"/>
      <c r="I18" s="15" t="n"/>
      <c r="J18" s="15" t="n"/>
      <c r="K18" s="15" t="n"/>
      <c r="L18" s="15" t="n"/>
      <c r="M18" s="15" t="inlineStr"/>
      <c r="N18" s="27" t="n"/>
    </row>
    <row r="19">
      <c r="A19" s="15" t="inlineStr">
        <is>
          <t>TC-API-007</t>
        </is>
      </c>
      <c r="B19" s="27" t="inlineStr">
        <is>
          <t>[PUT /api/notifications/:id/read] Đánh dấu thông báo đã đọc — trả về 200</t>
        </is>
      </c>
      <c r="C19" s="15" t="inlineStr">
        <is>
          <t>Trung bình</t>
        </is>
      </c>
      <c r="D19" s="15" t="inlineStr">
        <is>
          <t>Nhân viên đã đăng nhập, JWT hợp lệ. Thông báo ID=456 tồn tại với trạng thái chưa đọc (read=false).</t>
        </is>
      </c>
      <c r="E19" s="27" t="inlineStr">
        <is>
          <t>Authorization: Bearer &lt;JWT&gt;; notification_id=456</t>
        </is>
      </c>
      <c r="F19" s="27" t="inlineStr">
        <is>
          <t>Bước 1: Gửi PUT /api/notifications/456/read với JWT hợp lệ
Bước 2: Server cập nhật DB: read=true, ghi read_at
Bước 3: Kiểm tra HTTP status code
Bước 4: Kiểm tra body response</t>
        </is>
      </c>
      <c r="G19" s="27" t="inlineStr">
        <is>
          <t>Bước 1: Server nhận yêu cầu
Bước 2: Cập nhật thành công
Bước 3: Status 200 OK
Bước 4: Body chứa: { id: 456, read: true, read_at: "&lt;ISO-timestamp&gt;" }</t>
        </is>
      </c>
      <c r="H19" s="27" t="n"/>
      <c r="I19" s="15" t="n"/>
      <c r="J19" s="15" t="n"/>
      <c r="K19" s="15" t="n"/>
      <c r="L19" s="15" t="n"/>
      <c r="M19" s="15" t="inlineStr"/>
      <c r="N19" s="27" t="n"/>
    </row>
    <row r="20">
      <c r="A20" s="32" t="n"/>
      <c r="B20" s="32" t="n"/>
      <c r="C20" s="32" t="n"/>
      <c r="D20" s="32" t="n"/>
      <c r="E20" s="32" t="n"/>
      <c r="F20" s="32" t="n"/>
      <c r="G20" s="32" t="n"/>
      <c r="H20" s="32" t="n"/>
      <c r="I20" s="32" t="n"/>
      <c r="J20" s="32" t="n"/>
      <c r="K20" s="32" t="n"/>
      <c r="L20" s="32" t="n"/>
      <c r="M20" s="32" t="n"/>
      <c r="N20" s="27" t="n"/>
    </row>
    <row r="21">
      <c r="A21" s="32" t="n"/>
      <c r="B21" s="32" t="n"/>
      <c r="C21" s="32" t="n"/>
      <c r="D21" s="32" t="n"/>
      <c r="E21" s="32" t="n"/>
      <c r="F21" s="32" t="n"/>
      <c r="G21" s="32" t="n"/>
      <c r="H21" s="32" t="n"/>
      <c r="I21" s="32" t="n"/>
      <c r="J21" s="32" t="n"/>
      <c r="K21" s="32" t="n"/>
      <c r="L21" s="32" t="n"/>
      <c r="M21" s="32" t="n"/>
      <c r="N21" s="27" t="n"/>
    </row>
    <row r="22">
      <c r="A22" s="32" t="n"/>
      <c r="B22" s="32" t="n"/>
      <c r="C22" s="32" t="n"/>
      <c r="D22" s="32" t="n"/>
      <c r="E22" s="32" t="n"/>
      <c r="F22" s="32" t="n"/>
      <c r="G22" s="32" t="n"/>
      <c r="H22" s="32" t="n"/>
      <c r="I22" s="32" t="n"/>
      <c r="J22" s="32" t="n"/>
      <c r="K22" s="32" t="n"/>
      <c r="L22" s="32" t="n"/>
      <c r="M22" s="32" t="n"/>
      <c r="N22" s="27" t="n"/>
    </row>
    <row r="23">
      <c r="A23" s="32" t="n"/>
      <c r="B23" s="32" t="n"/>
      <c r="C23" s="32" t="n"/>
      <c r="D23" s="32" t="n"/>
      <c r="E23" s="32" t="n"/>
      <c r="F23" s="32" t="n"/>
      <c r="G23" s="32" t="n"/>
      <c r="H23" s="32" t="n"/>
      <c r="I23" s="32" t="n"/>
      <c r="J23" s="32" t="n"/>
      <c r="K23" s="32" t="n"/>
      <c r="L23" s="32" t="n"/>
      <c r="M23" s="32" t="n"/>
      <c r="N23" s="27" t="n"/>
    </row>
    <row r="24">
      <c r="A24" s="32" t="n"/>
      <c r="B24" s="32" t="n"/>
      <c r="C24" s="32" t="n"/>
      <c r="D24" s="32" t="n"/>
      <c r="E24" s="32" t="n"/>
      <c r="F24" s="32" t="n"/>
      <c r="G24" s="32" t="n"/>
      <c r="H24" s="32" t="n"/>
      <c r="I24" s="32" t="n"/>
      <c r="J24" s="32" t="n"/>
      <c r="K24" s="32" t="n"/>
      <c r="L24" s="32" t="n"/>
      <c r="M24" s="32" t="n"/>
      <c r="N24" s="27" t="n"/>
    </row>
    <row r="25">
      <c r="A25" s="32" t="n"/>
      <c r="B25" s="32" t="n"/>
      <c r="C25" s="32" t="n"/>
      <c r="D25" s="32" t="n"/>
      <c r="E25" s="32" t="n"/>
      <c r="F25" s="32" t="n"/>
      <c r="G25" s="32" t="n"/>
      <c r="H25" s="32" t="n"/>
      <c r="I25" s="32" t="n"/>
      <c r="J25" s="32" t="n"/>
      <c r="K25" s="32" t="n"/>
      <c r="L25" s="32" t="n"/>
      <c r="M25" s="32" t="n"/>
      <c r="N25" s="27" t="n"/>
    </row>
    <row r="26">
      <c r="A26" s="32" t="n"/>
      <c r="B26" s="32" t="n"/>
      <c r="C26" s="32" t="n"/>
      <c r="D26" s="32" t="n"/>
      <c r="E26" s="32" t="n"/>
      <c r="F26" s="32" t="n"/>
      <c r="G26" s="32" t="n"/>
      <c r="H26" s="32" t="n"/>
      <c r="I26" s="32" t="n"/>
      <c r="J26" s="32" t="n"/>
      <c r="K26" s="32" t="n"/>
      <c r="L26" s="32" t="n"/>
      <c r="M26" s="32" t="n"/>
      <c r="N26" s="27" t="n"/>
    </row>
    <row r="27">
      <c r="A27" s="32" t="n"/>
      <c r="B27" s="32" t="n"/>
      <c r="C27" s="32" t="n"/>
      <c r="D27" s="32" t="n"/>
      <c r="E27" s="32" t="n"/>
      <c r="F27" s="32" t="n"/>
      <c r="G27" s="32" t="n"/>
      <c r="H27" s="32" t="n"/>
      <c r="I27" s="32" t="n"/>
      <c r="J27" s="32" t="n"/>
      <c r="K27" s="32" t="n"/>
      <c r="L27" s="32" t="n"/>
      <c r="M27" s="32" t="n"/>
      <c r="N27" s="27" t="n"/>
    </row>
    <row r="28">
      <c r="A28" s="32" t="n"/>
      <c r="B28" s="32" t="n"/>
      <c r="C28" s="32" t="n"/>
      <c r="D28" s="32" t="n"/>
      <c r="E28" s="32" t="n"/>
      <c r="F28" s="32" t="n"/>
      <c r="G28" s="32" t="n"/>
      <c r="H28" s="32" t="n"/>
      <c r="I28" s="32" t="n"/>
      <c r="J28" s="32" t="n"/>
      <c r="K28" s="32" t="n"/>
      <c r="L28" s="32" t="n"/>
      <c r="M28" s="32" t="n"/>
      <c r="N28" s="27" t="n"/>
    </row>
    <row r="29">
      <c r="A29" s="32" t="n"/>
      <c r="B29" s="32" t="n"/>
      <c r="C29" s="32" t="n"/>
      <c r="D29" s="32" t="n"/>
      <c r="E29" s="32" t="n"/>
      <c r="F29" s="32" t="n"/>
      <c r="G29" s="32" t="n"/>
      <c r="H29" s="32" t="n"/>
      <c r="I29" s="32" t="n"/>
      <c r="J29" s="32" t="n"/>
      <c r="K29" s="32" t="n"/>
      <c r="L29" s="32" t="n"/>
      <c r="M29" s="32" t="n"/>
      <c r="N29" s="27" t="n"/>
    </row>
    <row r="30">
      <c r="A30" s="32" t="n"/>
      <c r="B30" s="32" t="n"/>
      <c r="C30" s="32" t="n"/>
      <c r="D30" s="32" t="n"/>
      <c r="E30" s="32" t="n"/>
      <c r="F30" s="32" t="n"/>
      <c r="G30" s="32" t="n"/>
      <c r="H30" s="32" t="n"/>
      <c r="I30" s="32" t="n"/>
      <c r="J30" s="32" t="n"/>
      <c r="K30" s="32" t="n"/>
      <c r="L30" s="32" t="n"/>
      <c r="M30" s="32" t="n"/>
      <c r="N30" s="27" t="n"/>
    </row>
    <row r="31">
      <c r="A31" s="32" t="n"/>
      <c r="B31" s="32" t="n"/>
      <c r="C31" s="32" t="n"/>
      <c r="D31" s="32" t="n"/>
      <c r="E31" s="32" t="n"/>
      <c r="F31" s="32" t="n"/>
      <c r="G31" s="32" t="n"/>
      <c r="H31" s="32" t="n"/>
      <c r="I31" s="32" t="n"/>
      <c r="J31" s="32" t="n"/>
      <c r="K31" s="32" t="n"/>
      <c r="L31" s="32" t="n"/>
      <c r="M31" s="32" t="n"/>
      <c r="N31" s="27" t="n"/>
    </row>
    <row r="32">
      <c r="A32" s="32" t="n"/>
      <c r="B32" s="32" t="n"/>
      <c r="C32" s="32" t="n"/>
      <c r="D32" s="32" t="n"/>
      <c r="E32" s="32" t="n"/>
      <c r="F32" s="32" t="n"/>
      <c r="G32" s="32" t="n"/>
      <c r="H32" s="32" t="n"/>
      <c r="I32" s="32" t="n"/>
      <c r="J32" s="32" t="n"/>
      <c r="K32" s="32" t="n"/>
      <c r="L32" s="32" t="n"/>
      <c r="M32" s="32" t="n"/>
      <c r="N32" s="27" t="n"/>
    </row>
    <row r="33">
      <c r="A33" s="32" t="n"/>
      <c r="B33" s="32" t="n"/>
      <c r="C33" s="32" t="n"/>
      <c r="D33" s="32" t="n"/>
      <c r="E33" s="32" t="n"/>
      <c r="F33" s="32" t="n"/>
      <c r="G33" s="32" t="n"/>
      <c r="H33" s="32" t="n"/>
      <c r="I33" s="32" t="n"/>
      <c r="J33" s="32" t="n"/>
      <c r="K33" s="32" t="n"/>
      <c r="L33" s="32" t="n"/>
      <c r="M33" s="32" t="n"/>
      <c r="N33" s="27" t="n"/>
    </row>
    <row r="34">
      <c r="A34" s="32" t="n"/>
      <c r="B34" s="32" t="n"/>
      <c r="C34" s="32" t="n"/>
      <c r="D34" s="32" t="n"/>
      <c r="E34" s="32" t="n"/>
      <c r="F34" s="32" t="n"/>
      <c r="G34" s="32" t="n"/>
      <c r="H34" s="32" t="n"/>
      <c r="I34" s="32" t="n"/>
      <c r="J34" s="32" t="n"/>
      <c r="K34" s="32" t="n"/>
      <c r="L34" s="32" t="n"/>
      <c r="M34" s="32" t="n"/>
      <c r="N34" s="27" t="n"/>
    </row>
    <row r="35">
      <c r="A35" s="32" t="n"/>
      <c r="B35" s="32" t="n"/>
      <c r="C35" s="32" t="n"/>
      <c r="D35" s="32" t="n"/>
      <c r="E35" s="32" t="n"/>
      <c r="F35" s="32" t="n"/>
      <c r="G35" s="32" t="n"/>
      <c r="H35" s="32" t="n"/>
      <c r="I35" s="32" t="n"/>
      <c r="J35" s="32" t="n"/>
      <c r="K35" s="32" t="n"/>
      <c r="L35" s="32" t="n"/>
      <c r="M35" s="32" t="n"/>
      <c r="N35" s="27" t="n"/>
    </row>
    <row r="36">
      <c r="A36" s="32" t="n"/>
      <c r="B36" s="32" t="n"/>
      <c r="C36" s="32" t="n"/>
      <c r="D36" s="32" t="n"/>
      <c r="E36" s="32" t="n"/>
      <c r="F36" s="32" t="n"/>
      <c r="G36" s="32" t="n"/>
      <c r="H36" s="32" t="n"/>
      <c r="I36" s="32" t="n"/>
      <c r="J36" s="32" t="n"/>
      <c r="K36" s="32" t="n"/>
      <c r="L36" s="32" t="n"/>
      <c r="M36" s="32" t="n"/>
      <c r="N36" s="27" t="n"/>
    </row>
    <row r="37">
      <c r="A37" s="32" t="n"/>
      <c r="B37" s="32" t="n"/>
      <c r="C37" s="32" t="n"/>
      <c r="D37" s="32" t="n"/>
      <c r="E37" s="32" t="n"/>
      <c r="F37" s="32" t="n"/>
      <c r="G37" s="32" t="n"/>
      <c r="H37" s="32" t="n"/>
      <c r="I37" s="32" t="n"/>
      <c r="J37" s="32" t="n"/>
      <c r="K37" s="32" t="n"/>
      <c r="L37" s="32" t="n"/>
      <c r="M37" s="32" t="n"/>
      <c r="N37" s="27" t="n"/>
    </row>
    <row r="38">
      <c r="A38" s="32" t="n"/>
      <c r="B38" s="32" t="n"/>
      <c r="C38" s="32" t="n"/>
      <c r="D38" s="32" t="n"/>
      <c r="E38" s="32" t="n"/>
      <c r="F38" s="32" t="n"/>
      <c r="G38" s="32" t="n"/>
      <c r="H38" s="32" t="n"/>
      <c r="I38" s="32" t="n"/>
      <c r="J38" s="32" t="n"/>
      <c r="K38" s="32" t="n"/>
      <c r="L38" s="32" t="n"/>
      <c r="M38" s="32" t="n"/>
      <c r="N38" s="27" t="n"/>
    </row>
    <row r="39">
      <c r="A39" s="32" t="n"/>
      <c r="B39" s="32" t="n"/>
      <c r="C39" s="32" t="n"/>
      <c r="D39" s="32" t="n"/>
      <c r="E39" s="32" t="n"/>
      <c r="F39" s="32" t="n"/>
      <c r="G39" s="32" t="n"/>
      <c r="H39" s="32" t="n"/>
      <c r="I39" s="32" t="n"/>
      <c r="J39" s="32" t="n"/>
      <c r="K39" s="32" t="n"/>
      <c r="L39" s="32" t="n"/>
      <c r="M39" s="32" t="n"/>
      <c r="N39" s="27" t="n"/>
    </row>
    <row r="40">
      <c r="A40" s="32" t="n"/>
      <c r="B40" s="32" t="n"/>
      <c r="C40" s="32" t="n"/>
      <c r="D40" s="32" t="n"/>
      <c r="E40" s="32" t="n"/>
      <c r="F40" s="32" t="n"/>
      <c r="G40" s="32" t="n"/>
      <c r="H40" s="32" t="n"/>
      <c r="I40" s="32" t="n"/>
      <c r="J40" s="32" t="n"/>
      <c r="K40" s="32" t="n"/>
      <c r="L40" s="32" t="n"/>
      <c r="M40" s="32" t="n"/>
      <c r="N40" s="27" t="n"/>
    </row>
    <row r="41">
      <c r="A41" s="32" t="n"/>
      <c r="B41" s="32" t="n"/>
      <c r="C41" s="32" t="n"/>
      <c r="D41" s="32" t="n"/>
      <c r="E41" s="32" t="n"/>
      <c r="F41" s="32" t="n"/>
      <c r="G41" s="32" t="n"/>
      <c r="H41" s="32" t="n"/>
      <c r="I41" s="32" t="n"/>
      <c r="J41" s="32" t="n"/>
      <c r="K41" s="32" t="n"/>
      <c r="L41" s="32" t="n"/>
      <c r="M41" s="32" t="n"/>
      <c r="N41" s="27" t="n"/>
    </row>
    <row r="42">
      <c r="A42" s="32" t="n"/>
      <c r="B42" s="32" t="n"/>
      <c r="C42" s="32" t="n"/>
      <c r="D42" s="32" t="n"/>
      <c r="E42" s="32" t="n"/>
      <c r="F42" s="32" t="n"/>
      <c r="G42" s="32" t="n"/>
      <c r="H42" s="32" t="n"/>
      <c r="I42" s="32" t="n"/>
      <c r="J42" s="32" t="n"/>
      <c r="K42" s="32" t="n"/>
      <c r="L42" s="32" t="n"/>
      <c r="M42" s="32" t="n"/>
      <c r="N42" s="27" t="n"/>
    </row>
    <row r="43">
      <c r="A43" s="32" t="n"/>
      <c r="B43" s="32" t="n"/>
      <c r="C43" s="32" t="n"/>
      <c r="D43" s="32" t="n"/>
      <c r="E43" s="32" t="n"/>
      <c r="F43" s="32" t="n"/>
      <c r="G43" s="32" t="n"/>
      <c r="H43" s="32" t="n"/>
      <c r="I43" s="32" t="n"/>
      <c r="J43" s="32" t="n"/>
      <c r="K43" s="32" t="n"/>
      <c r="L43" s="32" t="n"/>
      <c r="M43" s="32" t="n"/>
      <c r="N43" s="27" t="n"/>
    </row>
    <row r="44">
      <c r="A44" s="32" t="n"/>
      <c r="B44" s="32" t="n"/>
      <c r="C44" s="32" t="n"/>
      <c r="D44" s="32" t="n"/>
      <c r="E44" s="32" t="n"/>
      <c r="F44" s="32" t="n"/>
      <c r="G44" s="32" t="n"/>
      <c r="H44" s="32" t="n"/>
      <c r="I44" s="32" t="n"/>
      <c r="J44" s="32" t="n"/>
      <c r="K44" s="32" t="n"/>
      <c r="L44" s="32" t="n"/>
      <c r="M44" s="32" t="n"/>
      <c r="N44" s="27" t="n"/>
    </row>
    <row r="45">
      <c r="A45" s="32" t="n"/>
      <c r="B45" s="32" t="n"/>
      <c r="C45" s="32" t="n"/>
      <c r="D45" s="32" t="n"/>
      <c r="E45" s="32" t="n"/>
      <c r="F45" s="32" t="n"/>
      <c r="G45" s="32" t="n"/>
      <c r="H45" s="32" t="n"/>
      <c r="I45" s="32" t="n"/>
      <c r="J45" s="32" t="n"/>
      <c r="K45" s="32" t="n"/>
      <c r="L45" s="32" t="n"/>
      <c r="M45" s="32" t="n"/>
      <c r="N45" s="27" t="n"/>
    </row>
    <row r="46">
      <c r="A46" s="32" t="n"/>
      <c r="B46" s="32" t="n"/>
      <c r="C46" s="32" t="n"/>
      <c r="D46" s="32" t="n"/>
      <c r="E46" s="32" t="n"/>
      <c r="F46" s="32" t="n"/>
      <c r="G46" s="32" t="n"/>
      <c r="H46" s="32" t="n"/>
      <c r="I46" s="32" t="n"/>
      <c r="J46" s="32" t="n"/>
      <c r="K46" s="32" t="n"/>
      <c r="L46" s="32" t="n"/>
      <c r="M46" s="32" t="n"/>
      <c r="N46" s="27" t="n"/>
    </row>
    <row r="47">
      <c r="A47" s="32" t="n"/>
      <c r="B47" s="32" t="n"/>
      <c r="C47" s="32" t="n"/>
      <c r="D47" s="32" t="n"/>
      <c r="E47" s="32" t="n"/>
      <c r="F47" s="32" t="n"/>
      <c r="G47" s="32" t="n"/>
      <c r="H47" s="32" t="n"/>
      <c r="I47" s="32" t="n"/>
      <c r="J47" s="32" t="n"/>
      <c r="K47" s="32" t="n"/>
      <c r="L47" s="32" t="n"/>
      <c r="M47" s="32" t="n"/>
      <c r="N47" s="27" t="n"/>
    </row>
    <row r="48">
      <c r="A48" s="32" t="n"/>
      <c r="B48" s="32" t="n"/>
      <c r="C48" s="32" t="n"/>
      <c r="D48" s="32" t="n"/>
      <c r="E48" s="32" t="n"/>
      <c r="F48" s="32" t="n"/>
      <c r="G48" s="32" t="n"/>
      <c r="H48" s="32" t="n"/>
      <c r="I48" s="32" t="n"/>
      <c r="J48" s="32" t="n"/>
      <c r="K48" s="32" t="n"/>
      <c r="L48" s="32" t="n"/>
      <c r="M48" s="32" t="n"/>
      <c r="N48" s="27" t="n"/>
    </row>
    <row r="49">
      <c r="A49" s="32" t="n"/>
      <c r="B49" s="32" t="n"/>
      <c r="C49" s="32" t="n"/>
      <c r="D49" s="32" t="n"/>
      <c r="E49" s="32" t="n"/>
      <c r="F49" s="32" t="n"/>
      <c r="G49" s="32" t="n"/>
      <c r="H49" s="32" t="n"/>
      <c r="I49" s="32" t="n"/>
      <c r="J49" s="32" t="n"/>
      <c r="K49" s="32" t="n"/>
      <c r="L49" s="32" t="n"/>
      <c r="M49" s="32" t="n"/>
      <c r="N49" s="27" t="n"/>
    </row>
    <row r="50">
      <c r="A50" s="32" t="n"/>
      <c r="B50" s="32" t="n"/>
      <c r="C50" s="32" t="n"/>
      <c r="D50" s="32" t="n"/>
      <c r="E50" s="32" t="n"/>
      <c r="F50" s="32" t="n"/>
      <c r="G50" s="32" t="n"/>
      <c r="H50" s="32" t="n"/>
      <c r="I50" s="32" t="n"/>
      <c r="J50" s="32" t="n"/>
      <c r="K50" s="32" t="n"/>
      <c r="L50" s="32" t="n"/>
      <c r="M50" s="32" t="n"/>
      <c r="N50" s="27" t="n"/>
    </row>
    <row r="51">
      <c r="A51" s="32" t="n"/>
      <c r="B51" s="32" t="n"/>
      <c r="C51" s="32" t="n"/>
      <c r="D51" s="32" t="n"/>
      <c r="E51" s="32" t="n"/>
      <c r="F51" s="32" t="n"/>
      <c r="G51" s="32" t="n"/>
      <c r="H51" s="32" t="n"/>
      <c r="I51" s="32" t="n"/>
      <c r="J51" s="32" t="n"/>
      <c r="K51" s="32" t="n"/>
      <c r="L51" s="32" t="n"/>
      <c r="M51" s="32" t="n"/>
      <c r="N51" s="27" t="n"/>
    </row>
    <row r="52">
      <c r="A52" s="32" t="n"/>
      <c r="B52" s="32" t="n"/>
      <c r="C52" s="32" t="n"/>
      <c r="D52" s="32" t="n"/>
      <c r="E52" s="32" t="n"/>
      <c r="F52" s="32" t="n"/>
      <c r="G52" s="32" t="n"/>
      <c r="H52" s="32" t="n"/>
      <c r="I52" s="32" t="n"/>
      <c r="J52" s="32" t="n"/>
      <c r="K52" s="32" t="n"/>
      <c r="L52" s="32" t="n"/>
      <c r="M52" s="32" t="n"/>
      <c r="N52" s="27" t="n"/>
    </row>
    <row r="53">
      <c r="A53" s="32" t="n"/>
      <c r="B53" s="32" t="n"/>
      <c r="C53" s="32" t="n"/>
      <c r="D53" s="32" t="n"/>
      <c r="E53" s="32" t="n"/>
      <c r="F53" s="32" t="n"/>
      <c r="G53" s="32" t="n"/>
      <c r="H53" s="32" t="n"/>
      <c r="I53" s="32" t="n"/>
      <c r="J53" s="32" t="n"/>
      <c r="K53" s="32" t="n"/>
      <c r="L53" s="32" t="n"/>
      <c r="M53" s="32" t="n"/>
      <c r="N53" s="27" t="n"/>
    </row>
    <row r="54">
      <c r="A54" s="32" t="n"/>
      <c r="B54" s="32" t="n"/>
      <c r="C54" s="32" t="n"/>
      <c r="D54" s="32" t="n"/>
      <c r="E54" s="32" t="n"/>
      <c r="F54" s="32" t="n"/>
      <c r="G54" s="32" t="n"/>
      <c r="H54" s="32" t="n"/>
      <c r="I54" s="32" t="n"/>
      <c r="J54" s="32" t="n"/>
      <c r="K54" s="32" t="n"/>
      <c r="L54" s="32" t="n"/>
      <c r="M54" s="32" t="n"/>
      <c r="N54" s="27" t="n"/>
    </row>
    <row r="55">
      <c r="A55" s="32" t="n"/>
      <c r="B55" s="32" t="n"/>
      <c r="C55" s="32" t="n"/>
      <c r="D55" s="32" t="n"/>
      <c r="E55" s="32" t="n"/>
      <c r="F55" s="32" t="n"/>
      <c r="G55" s="32" t="n"/>
      <c r="H55" s="32" t="n"/>
      <c r="I55" s="32" t="n"/>
      <c r="J55" s="32" t="n"/>
      <c r="K55" s="32" t="n"/>
      <c r="L55" s="32" t="n"/>
      <c r="M55" s="32" t="n"/>
      <c r="N55" s="27" t="n"/>
    </row>
    <row r="56">
      <c r="A56" s="32" t="n"/>
      <c r="B56" s="32" t="n"/>
      <c r="C56" s="32" t="n"/>
      <c r="D56" s="32" t="n"/>
      <c r="E56" s="32" t="n"/>
      <c r="F56" s="32" t="n"/>
      <c r="G56" s="32" t="n"/>
      <c r="H56" s="32" t="n"/>
      <c r="I56" s="32" t="n"/>
      <c r="J56" s="32" t="n"/>
      <c r="K56" s="32" t="n"/>
      <c r="L56" s="32" t="n"/>
      <c r="M56" s="32" t="n"/>
      <c r="N56" s="27" t="n"/>
    </row>
    <row r="57">
      <c r="A57" s="32" t="n"/>
      <c r="B57" s="32" t="n"/>
      <c r="C57" s="32" t="n"/>
      <c r="D57" s="32" t="n"/>
      <c r="E57" s="32" t="n"/>
      <c r="F57" s="32" t="n"/>
      <c r="G57" s="32" t="n"/>
      <c r="H57" s="32" t="n"/>
      <c r="I57" s="32" t="n"/>
      <c r="J57" s="32" t="n"/>
      <c r="K57" s="32" t="n"/>
      <c r="L57" s="32" t="n"/>
      <c r="M57" s="32" t="n"/>
      <c r="N57" s="27" t="n"/>
    </row>
    <row r="58">
      <c r="A58" s="32" t="n"/>
      <c r="B58" s="32" t="n"/>
      <c r="C58" s="32" t="n"/>
      <c r="D58" s="32" t="n"/>
      <c r="E58" s="32" t="n"/>
      <c r="F58" s="32" t="n"/>
      <c r="G58" s="32" t="n"/>
      <c r="H58" s="32" t="n"/>
      <c r="I58" s="32" t="n"/>
      <c r="J58" s="32" t="n"/>
      <c r="K58" s="32" t="n"/>
      <c r="L58" s="32" t="n"/>
      <c r="M58" s="32" t="n"/>
      <c r="N58" s="27" t="n"/>
    </row>
    <row r="59">
      <c r="A59" s="32" t="n"/>
      <c r="B59" s="32" t="n"/>
      <c r="C59" s="32" t="n"/>
      <c r="D59" s="32" t="n"/>
      <c r="E59" s="32" t="n"/>
      <c r="F59" s="32" t="n"/>
      <c r="G59" s="32" t="n"/>
      <c r="H59" s="32" t="n"/>
      <c r="I59" s="32" t="n"/>
      <c r="J59" s="32" t="n"/>
      <c r="K59" s="32" t="n"/>
      <c r="L59" s="32" t="n"/>
      <c r="M59" s="32" t="n"/>
      <c r="N59" s="27" t="n"/>
    </row>
    <row r="60">
      <c r="A60" s="32" t="n"/>
      <c r="B60" s="32" t="n"/>
      <c r="C60" s="32" t="n"/>
      <c r="D60" s="32" t="n"/>
      <c r="E60" s="32" t="n"/>
      <c r="F60" s="32" t="n"/>
      <c r="G60" s="32" t="n"/>
      <c r="H60" s="32" t="n"/>
      <c r="I60" s="32" t="n"/>
      <c r="J60" s="32" t="n"/>
      <c r="K60" s="32" t="n"/>
      <c r="L60" s="32" t="n"/>
      <c r="M60" s="32" t="n"/>
      <c r="N60" s="27" t="n"/>
    </row>
    <row r="61">
      <c r="A61" s="32" t="n"/>
      <c r="B61" s="32" t="n"/>
      <c r="C61" s="32" t="n"/>
      <c r="D61" s="32" t="n"/>
      <c r="E61" s="32" t="n"/>
      <c r="F61" s="32" t="n"/>
      <c r="G61" s="32" t="n"/>
      <c r="H61" s="32" t="n"/>
      <c r="I61" s="32" t="n"/>
      <c r="J61" s="32" t="n"/>
      <c r="K61" s="32" t="n"/>
      <c r="L61" s="32" t="n"/>
      <c r="M61" s="32" t="n"/>
      <c r="N61" s="27" t="n"/>
    </row>
    <row r="62">
      <c r="A62" s="32" t="n"/>
      <c r="B62" s="32" t="n"/>
      <c r="C62" s="32" t="n"/>
      <c r="D62" s="32" t="n"/>
      <c r="E62" s="32" t="n"/>
      <c r="F62" s="32" t="n"/>
      <c r="G62" s="32" t="n"/>
      <c r="H62" s="32" t="n"/>
      <c r="I62" s="32" t="n"/>
      <c r="J62" s="32" t="n"/>
      <c r="K62" s="32" t="n"/>
      <c r="L62" s="32" t="n"/>
      <c r="M62" s="32" t="n"/>
      <c r="N62" s="27" t="n"/>
    </row>
    <row r="63"/>
  </sheetData>
  <autoFilter ref="A12:N12"/>
  <mergeCells count="16">
    <mergeCell ref="H11:H12"/>
    <mergeCell ref="K11:L11"/>
    <mergeCell ref="N11:N12"/>
    <mergeCell ref="B4:N4"/>
    <mergeCell ref="I11:J11"/>
    <mergeCell ref="M11:M12"/>
    <mergeCell ref="B11:B12"/>
    <mergeCell ref="C11:C12"/>
    <mergeCell ref="D11:D12"/>
    <mergeCell ref="G11:G12"/>
    <mergeCell ref="E11:E12"/>
    <mergeCell ref="B3:N3"/>
    <mergeCell ref="B2:N2"/>
    <mergeCell ref="A11:A12"/>
    <mergeCell ref="F11:F12"/>
    <mergeCell ref="A1:N1"/>
  </mergeCells>
  <conditionalFormatting sqref="I13:I1000">
    <cfRule type="cellIs" priority="1" operator="equal" dxfId="0" stopIfTrue="0">
      <formula>"Pass"</formula>
    </cfRule>
    <cfRule type="cellIs" priority="2" operator="equal" dxfId="1" stopIfTrue="0">
      <formula>"Fail"</formula>
    </cfRule>
    <cfRule type="cellIs" priority="3" operator="equal" dxfId="2" stopIfTrue="0">
      <formula>"Blocked"</formula>
    </cfRule>
    <cfRule type="cellIs" priority="4" operator="equal" dxfId="3" stopIfTrue="0">
      <formula>"N/A"</formula>
    </cfRule>
    <cfRule type="cellIs" priority="5" operator="equal" dxfId="4" stopIfTrue="0">
      <formula>"Not-Run"</formula>
    </cfRule>
  </conditionalFormatting>
  <conditionalFormatting sqref="K13:K1000">
    <cfRule type="cellIs" priority="11" operator="equal" dxfId="0" stopIfTrue="0">
      <formula>"Pass"</formula>
    </cfRule>
    <cfRule type="cellIs" priority="12" operator="equal" dxfId="1" stopIfTrue="0">
      <formula>"Fail"</formula>
    </cfRule>
    <cfRule type="cellIs" priority="13" operator="equal" dxfId="2" stopIfTrue="0">
      <formula>"Blocked"</formula>
    </cfRule>
    <cfRule type="cellIs" priority="14" operator="equal" dxfId="3" stopIfTrue="0">
      <formula>"N/A"</formula>
    </cfRule>
    <cfRule type="cellIs" priority="15" operator="equal" dxfId="4" stopIfTrue="0">
      <formula>"Not-Run"</formula>
    </cfRule>
  </conditionalFormatting>
  <conditionalFormatting sqref="J13:J1000">
    <cfRule type="cellIs" priority="21" operator="equal" dxfId="1" stopIfTrue="0">
      <formula>"Open"</formula>
    </cfRule>
    <cfRule type="cellIs" priority="22" operator="equal" dxfId="2" stopIfTrue="0">
      <formula>"In-Progress"</formula>
    </cfRule>
    <cfRule type="cellIs" priority="23" operator="equal" dxfId="1" stopIfTrue="0">
      <formula>"Re-Open"</formula>
    </cfRule>
    <cfRule type="cellIs" priority="24" operator="equal" dxfId="0" stopIfTrue="0">
      <formula>"Closed"</formula>
    </cfRule>
    <cfRule type="cellIs" priority="25" operator="equal" dxfId="0" stopIfTrue="0">
      <formula>"Resolved"</formula>
    </cfRule>
  </conditionalFormatting>
  <conditionalFormatting sqref="L13:L1000">
    <cfRule type="cellIs" priority="31" operator="equal" dxfId="1" stopIfTrue="0">
      <formula>"Open"</formula>
    </cfRule>
    <cfRule type="cellIs" priority="32" operator="equal" dxfId="2" stopIfTrue="0">
      <formula>"In-Progress"</formula>
    </cfRule>
    <cfRule type="cellIs" priority="33" operator="equal" dxfId="1" stopIfTrue="0">
      <formula>"Re-Open"</formula>
    </cfRule>
    <cfRule type="cellIs" priority="34" operator="equal" dxfId="0" stopIfTrue="0">
      <formula>"Closed"</formula>
    </cfRule>
    <cfRule type="cellIs" priority="35" operator="equal" dxfId="0" stopIfTrue="0">
      <formula>"Resolved"</formula>
    </cfRule>
  </conditionalFormatting>
  <conditionalFormatting sqref="C13:C1000">
    <cfRule type="cellIs" priority="41" operator="equal" dxfId="5" stopIfTrue="0">
      <formula>"Rất cao"</formula>
    </cfRule>
    <cfRule type="cellIs" priority="42" operator="equal" dxfId="6" stopIfTrue="0">
      <formula>"Cao"</formula>
    </cfRule>
    <cfRule type="cellIs" priority="43" operator="equal" dxfId="7" stopIfTrue="0">
      <formula>"Trung bình"</formula>
    </cfRule>
    <cfRule type="cellIs" priority="44" operator="equal" dxfId="8" stopIfTrue="0">
      <formula>"Thấp"</formula>
    </cfRule>
  </conditionalFormatting>
  <conditionalFormatting sqref="D13:D1000">
    <cfRule type="cellIs" priority="51" operator="equal" dxfId="5" stopIfTrue="0">
      <formula>"Blocker"</formula>
    </cfRule>
    <cfRule type="cellIs" priority="52" operator="equal" dxfId="6" stopIfTrue="0">
      <formula>"Major"</formula>
    </cfRule>
    <cfRule type="cellIs" priority="53" operator="equal" dxfId="7" stopIfTrue="0">
      <formula>"Minor"</formula>
    </cfRule>
    <cfRule type="cellIs" priority="54" operator="equal" dxfId="9" stopIfTrue="0">
      <formula>"Trivial"</formula>
    </cfRule>
  </conditionalFormatting>
  <dataValidations count="4">
    <dataValidation sqref="C13:C19" showDropDown="0" showInputMessage="0" showErrorMessage="0" allowBlank="1" type="list">
      <formula1>'_Tra cứu'!$E$2:$E$20</formula1>
    </dataValidation>
    <dataValidation sqref="D13:D19" showDropDown="0" showInputMessage="0" showErrorMessage="0" allowBlank="1" type="list">
      <formula1>'_Tra cứu'!$F$2:$F$20</formula1>
    </dataValidation>
    <dataValidation sqref="I13:I19 K13:K19" showDropDown="0" showInputMessage="0" showErrorMessage="0" allowBlank="1" type="list">
      <formula1>'_Tra cứu'!$G$2:$G$20</formula1>
    </dataValidation>
    <dataValidation sqref="J13:J19 L13:L19" showDropDown="0" showInputMessage="0" showErrorMessage="0" allowBlank="1" type="list">
      <formula1>'_Tra cứu'!$H$2:$H$20</formula1>
    </dataValidation>
  </dataValidations>
  <printOptions horizontalCentered="1"/>
  <pageMargins left="0.4" right="0.4" top="0.5" bottom="0.5" header="0.2" footer="0.2"/>
  <pageSetup orientation="landscape" paperSize="9" fitToHeight="0" fitToWidth="1"/>
  <headerFooter>
    <oddHeader/>
    <oddFooter>&amp;C&amp;"Times New Roman"&amp;9 Trang &amp;P /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cols>
    <col width="4" customWidth="1" min="1" max="1"/>
    <col width="30" customWidth="1" min="2" max="2"/>
    <col width="40" customWidth="1" min="3" max="3"/>
    <col width="22" customWidth="1" min="4" max="4"/>
    <col width="22" customWidth="1" min="5" max="5"/>
  </cols>
  <sheetData>
    <row r="2" ht="30" customHeight="1">
      <c r="B2" s="13" t="inlineStr">
        <is>
          <t>THƯ VIỆN DỮ LIỆU TEST</t>
        </is>
      </c>
      <c r="C2" s="29" t="n"/>
      <c r="D2" s="29" t="n"/>
      <c r="E2" s="30" t="n"/>
    </row>
    <row r="4">
      <c r="B4" s="4" t="inlineStr">
        <is>
          <t>Tài khoản test</t>
        </is>
      </c>
      <c r="C4" s="29" t="n"/>
      <c r="D4" s="29" t="n"/>
      <c r="E4" s="30" t="n"/>
    </row>
    <row r="5">
      <c r="B5" s="7" t="inlineStr">
        <is>
          <t>Tên đăng nhập</t>
        </is>
      </c>
      <c r="C5" s="7" t="inlineStr">
        <is>
          <t>Mật khẩu</t>
        </is>
      </c>
      <c r="D5" s="7" t="inlineStr">
        <is>
          <t>Vai trò</t>
        </is>
      </c>
      <c r="E5" s="7" t="inlineStr">
        <is>
          <t>Phạm vi</t>
        </is>
      </c>
    </row>
    <row r="6">
      <c r="B6" s="6" t="inlineStr">
        <is>
          <t>admin@test.local</t>
        </is>
      </c>
      <c r="C6" s="6" t="inlineStr">
        <is>
          <t>Test@123</t>
        </is>
      </c>
      <c r="D6" s="6" t="inlineStr">
        <is>
          <t>ADMIN</t>
        </is>
      </c>
      <c r="E6" s="6" t="inlineStr">
        <is>
          <t>Toàn hệ thống</t>
        </is>
      </c>
    </row>
    <row r="7">
      <c r="B7" s="6" t="inlineStr">
        <is>
          <t>hqdk01@test.local</t>
        </is>
      </c>
      <c r="C7" s="6" t="inlineStr">
        <is>
          <t>Test@123</t>
        </is>
      </c>
      <c r="D7" s="6" t="inlineStr">
        <is>
          <t>HQDK</t>
        </is>
      </c>
      <c r="E7" s="6" t="inlineStr">
        <is>
          <t>Cán bộ HQ đăng ký</t>
        </is>
      </c>
    </row>
    <row r="8">
      <c r="B8" s="6" t="inlineStr">
        <is>
          <t>kiemhoa01@test.local</t>
        </is>
      </c>
      <c r="C8" s="6" t="inlineStr">
        <is>
          <t>Test@123</t>
        </is>
      </c>
      <c r="D8" s="6" t="inlineStr">
        <is>
          <t>KIEM_HOA</t>
        </is>
      </c>
      <c r="E8" s="6" t="inlineStr">
        <is>
          <t>Cán bộ kiểm hóa</t>
        </is>
      </c>
    </row>
    <row r="9">
      <c r="B9" s="6" t="inlineStr">
        <is>
          <t>phancong01@test.local</t>
        </is>
      </c>
      <c r="C9" s="6" t="inlineStr">
        <is>
          <t>Test@123</t>
        </is>
      </c>
      <c r="D9" s="6" t="inlineStr">
        <is>
          <t>PHAN_CONG</t>
        </is>
      </c>
      <c r="E9" s="6" t="inlineStr">
        <is>
          <t>Cán bộ phân công</t>
        </is>
      </c>
    </row>
    <row r="10">
      <c r="B10" s="6" t="inlineStr">
        <is>
          <t>lanhdao01@test.local</t>
        </is>
      </c>
      <c r="C10" s="6" t="inlineStr">
        <is>
          <t>Test@123</t>
        </is>
      </c>
      <c r="D10" s="6" t="inlineStr">
        <is>
          <t>LANH_DAO</t>
        </is>
      </c>
      <c r="E10" s="6" t="inlineStr">
        <is>
          <t>Lãnh đạo HQ</t>
        </is>
      </c>
    </row>
    <row r="11">
      <c r="B11" s="6" t="inlineStr">
        <is>
          <t>giamsat01@test.local</t>
        </is>
      </c>
      <c r="C11" s="6" t="inlineStr">
        <is>
          <t>Test@123</t>
        </is>
      </c>
      <c r="D11" s="6" t="inlineStr">
        <is>
          <t>GIAM_SAT</t>
        </is>
      </c>
      <c r="E11" s="6" t="inlineStr">
        <is>
          <t>Giám sát KVGS</t>
        </is>
      </c>
    </row>
    <row r="13">
      <c r="B13" s="4" t="inlineStr">
        <is>
          <t>Boundary value templates</t>
        </is>
      </c>
      <c r="C13" s="29" t="n"/>
      <c r="D13" s="29" t="n"/>
      <c r="E13" s="30" t="n"/>
    </row>
    <row r="14">
      <c r="B14" s="7" t="inlineStr">
        <is>
          <t>Trường</t>
        </is>
      </c>
      <c r="C14" s="7" t="inlineStr">
        <is>
          <t>Giá trị min hợp lệ</t>
        </is>
      </c>
      <c r="D14" s="7" t="inlineStr">
        <is>
          <t>Giá trị max hợp lệ</t>
        </is>
      </c>
      <c r="E14" s="7" t="inlineStr">
        <is>
          <t>Giá trị vi phạm</t>
        </is>
      </c>
    </row>
    <row r="15">
      <c r="B15" s="6" t="inlineStr">
        <is>
          <t>Tên hồ sơ</t>
        </is>
      </c>
      <c r="C15" s="6" t="inlineStr">
        <is>
          <t>1 ký tự</t>
        </is>
      </c>
      <c r="D15" s="6" t="inlineStr">
        <is>
          <t>200 ký tự</t>
        </is>
      </c>
      <c r="E15" s="6" t="inlineStr">
        <is>
          <t>0 ký tự / 201 ký tự</t>
        </is>
      </c>
    </row>
    <row r="16">
      <c r="B16" s="6" t="inlineStr">
        <is>
          <t>Mã hồ sơ</t>
        </is>
      </c>
      <c r="C16" s="6" t="inlineStr">
        <is>
          <t>Không có space, A-Z 0-9</t>
        </is>
      </c>
      <c r="D16" s="6" t="inlineStr">
        <is>
          <t>20 ký tự</t>
        </is>
      </c>
      <c r="E16" s="6" t="inlineStr">
        <is>
          <t>Có space / &gt;20 ký tự</t>
        </is>
      </c>
    </row>
    <row r="17">
      <c r="B17" s="6" t="inlineStr">
        <is>
          <t>Số tiền</t>
        </is>
      </c>
      <c r="C17" s="6" t="inlineStr">
        <is>
          <t>0 VND</t>
        </is>
      </c>
      <c r="D17" s="6" t="inlineStr">
        <is>
          <t>999,999,999,999 VND</t>
        </is>
      </c>
      <c r="E17" s="6" t="inlineStr">
        <is>
          <t>Số âm / &gt;max</t>
        </is>
      </c>
    </row>
    <row r="18">
      <c r="B18" s="6" t="inlineStr">
        <is>
          <t>Email</t>
        </is>
      </c>
      <c r="C18" s="6" t="inlineStr">
        <is>
          <t>1 char + @ + domain</t>
        </is>
      </c>
      <c r="D18" s="6" t="inlineStr">
        <is>
          <t>RFC 5321</t>
        </is>
      </c>
      <c r="E18" s="6" t="inlineStr">
        <is>
          <t>Không @ / sai domain</t>
        </is>
      </c>
    </row>
    <row r="19">
      <c r="B19" s="6" t="inlineStr">
        <is>
          <t>Ngày</t>
        </is>
      </c>
      <c r="C19" s="6" t="inlineStr">
        <is>
          <t>01/01/1900</t>
        </is>
      </c>
      <c r="D19" s="6" t="inlineStr">
        <is>
          <t>31/12/9999</t>
        </is>
      </c>
      <c r="E19" s="6" t="inlineStr">
        <is>
          <t>32/13/yyyy / chữ</t>
        </is>
      </c>
    </row>
    <row r="21">
      <c r="B21" s="4" t="inlineStr">
        <is>
          <t>Tiếng Việt có dấu — test strings</t>
        </is>
      </c>
      <c r="C21" s="29" t="n"/>
      <c r="D21" s="29" t="n"/>
      <c r="E21" s="30" t="n"/>
    </row>
    <row r="22">
      <c r="B22" s="7" t="inlineStr">
        <is>
          <t>Loại</t>
        </is>
      </c>
      <c r="C22" s="7" t="inlineStr">
        <is>
          <t>Sample</t>
        </is>
      </c>
    </row>
    <row r="23">
      <c r="B23" s="6" t="inlineStr">
        <is>
          <t>NFC normalized</t>
        </is>
      </c>
      <c r="C23" s="6" t="inlineStr">
        <is>
          <t>Nguyễn Văn Đỗ</t>
        </is>
      </c>
    </row>
    <row r="24">
      <c r="B24" s="6" t="inlineStr">
        <is>
          <t>NFD decomposed</t>
        </is>
      </c>
      <c r="C24" s="6" t="inlineStr">
        <is>
          <t>Nguyễn Văn Đỗ (decomp)</t>
        </is>
      </c>
    </row>
    <row r="25">
      <c r="B25" s="6" t="inlineStr">
        <is>
          <t>Mixed</t>
        </is>
      </c>
      <c r="C25" s="6" t="inlineStr">
        <is>
          <t>ABC nguyễn xyz Lê 123</t>
        </is>
      </c>
    </row>
    <row r="26">
      <c r="B26" s="6" t="inlineStr">
        <is>
          <t>Special chars</t>
        </is>
      </c>
      <c r="C26" s="6" t="inlineStr">
        <is>
          <t>Q.1, TP.HCM — đường Lê Lợi/Bến Nghé</t>
        </is>
      </c>
    </row>
  </sheetData>
  <mergeCells count="4">
    <mergeCell ref="B21:E21"/>
    <mergeCell ref="B13:E13"/>
    <mergeCell ref="B2:E2"/>
    <mergeCell ref="B4:E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28" t="inlineStr">
        <is>
          <t>Index</t>
        </is>
      </c>
      <c r="B1" s="28" t="inlineStr">
        <is>
          <t>Modules</t>
        </is>
      </c>
      <c r="C1" s="28" t="inlineStr">
        <is>
          <t>TestTypes</t>
        </is>
      </c>
      <c r="D1" s="28" t="inlineStr">
        <is>
          <t>Roles</t>
        </is>
      </c>
      <c r="E1" s="28" t="inlineStr">
        <is>
          <t>Priorities</t>
        </is>
      </c>
      <c r="F1" s="28" t="inlineStr">
        <is>
          <t>Severities</t>
        </is>
      </c>
      <c r="G1" s="28" t="inlineStr">
        <is>
          <t>RunStatuses</t>
        </is>
      </c>
      <c r="H1" s="28" t="inlineStr">
        <is>
          <t>DefectStatuses</t>
        </is>
      </c>
    </row>
    <row r="2">
      <c r="B2" t="inlineStr">
        <is>
          <t>m01</t>
        </is>
      </c>
      <c r="C2" t="inlineStr">
        <is>
          <t>Smoke</t>
        </is>
      </c>
      <c r="E2" t="inlineStr">
        <is>
          <t>Rất cao</t>
        </is>
      </c>
      <c r="F2" t="inlineStr">
        <is>
          <t>Blocker</t>
        </is>
      </c>
      <c r="G2" t="inlineStr">
        <is>
          <t>Pass</t>
        </is>
      </c>
      <c r="H2" t="inlineStr">
        <is>
          <t>Open</t>
        </is>
      </c>
      <c r="I2" t="inlineStr">
        <is>
          <t>Open</t>
        </is>
      </c>
    </row>
    <row r="3">
      <c r="B3" t="inlineStr">
        <is>
          <t>m02</t>
        </is>
      </c>
      <c r="C3" t="inlineStr">
        <is>
          <t>Functional</t>
        </is>
      </c>
      <c r="E3" t="inlineStr">
        <is>
          <t>Cao</t>
        </is>
      </c>
      <c r="F3" t="inlineStr">
        <is>
          <t>Major</t>
        </is>
      </c>
      <c r="G3" t="inlineStr">
        <is>
          <t>Fail</t>
        </is>
      </c>
      <c r="H3" t="inlineStr">
        <is>
          <t>In-Progress</t>
        </is>
      </c>
      <c r="I3" t="inlineStr">
        <is>
          <t>Assigned</t>
        </is>
      </c>
    </row>
    <row r="4">
      <c r="B4" t="inlineStr">
        <is>
          <t>m03</t>
        </is>
      </c>
      <c r="C4" t="inlineStr">
        <is>
          <t>Regression</t>
        </is>
      </c>
      <c r="E4" t="inlineStr">
        <is>
          <t>Trung bình</t>
        </is>
      </c>
      <c r="F4" t="inlineStr">
        <is>
          <t>Minor</t>
        </is>
      </c>
      <c r="G4" t="inlineStr">
        <is>
          <t>Blocked</t>
        </is>
      </c>
      <c r="H4" t="inlineStr">
        <is>
          <t>Closed</t>
        </is>
      </c>
      <c r="I4" t="inlineStr">
        <is>
          <t>In-Progress</t>
        </is>
      </c>
    </row>
    <row r="5">
      <c r="B5" t="inlineStr">
        <is>
          <t>m04</t>
        </is>
      </c>
      <c r="C5" t="inlineStr">
        <is>
          <t>Boundary</t>
        </is>
      </c>
      <c r="E5" t="inlineStr">
        <is>
          <t>Thấp</t>
        </is>
      </c>
      <c r="F5" t="inlineStr">
        <is>
          <t>Trivial</t>
        </is>
      </c>
      <c r="G5" t="inlineStr">
        <is>
          <t>Skip</t>
        </is>
      </c>
      <c r="H5" t="inlineStr">
        <is>
          <t>Re-Open</t>
        </is>
      </c>
      <c r="I5" t="inlineStr">
        <is>
          <t>Fixed</t>
        </is>
      </c>
    </row>
    <row r="6">
      <c r="B6" t="inlineStr">
        <is>
          <t>m05</t>
        </is>
      </c>
      <c r="C6" t="inlineStr">
        <is>
          <t>Negative</t>
        </is>
      </c>
      <c r="G6" t="inlineStr">
        <is>
          <t>Not-Run</t>
        </is>
      </c>
      <c r="H6" t="inlineStr">
        <is>
          <t>Resolved</t>
        </is>
      </c>
      <c r="I6" t="inlineStr">
        <is>
          <t>Verified</t>
        </is>
      </c>
    </row>
    <row r="7">
      <c r="B7" t="inlineStr">
        <is>
          <t>m06</t>
        </is>
      </c>
      <c r="C7" t="inlineStr">
        <is>
          <t>Security</t>
        </is>
      </c>
      <c r="G7" t="inlineStr">
        <is>
          <t>N/A</t>
        </is>
      </c>
      <c r="I7" t="inlineStr">
        <is>
          <t>Closed</t>
        </is>
      </c>
    </row>
    <row r="8">
      <c r="B8" t="inlineStr">
        <is>
          <t>m07</t>
        </is>
      </c>
      <c r="C8" t="inlineStr">
        <is>
          <t>Performance</t>
        </is>
      </c>
      <c r="I8" t="inlineStr">
        <is>
          <t>Reopened</t>
        </is>
      </c>
    </row>
    <row r="9">
      <c r="B9" t="inlineStr">
        <is>
          <t>m08</t>
        </is>
      </c>
      <c r="C9" t="inlineStr">
        <is>
          <t>UX</t>
        </is>
      </c>
      <c r="I9" t="inlineStr">
        <is>
          <t>Won't Fix</t>
        </is>
      </c>
    </row>
    <row r="10">
      <c r="B10" t="inlineStr">
        <is>
          <t>m09</t>
        </is>
      </c>
      <c r="C10" t="inlineStr">
        <is>
          <t>Compatibility</t>
        </is>
      </c>
    </row>
    <row r="11">
      <c r="B11" t="inlineStr">
        <is>
          <t>m10</t>
        </is>
      </c>
      <c r="C11" t="inlineStr">
        <is>
          <t>Audit</t>
        </is>
      </c>
    </row>
    <row r="12">
      <c r="B12" t="inlineStr">
        <is>
          <t>m11</t>
        </is>
      </c>
    </row>
    <row r="13">
      <c r="B13" t="inlineStr">
        <is>
          <t>m12</t>
        </is>
      </c>
    </row>
    <row r="14">
      <c r="B14" t="inlineStr">
        <is>
          <t>m13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2026-04-27T16:52:07Z</dcterms:created>
  <dcterms:modified xmlns:dcterms="http://purl.org/dc/terms/" xmlns:xsi="http://www.w3.org/2001/XMLSchema-instance" xsi:type="dcterms:W3CDTF">2026-04-30T09:28:05Z</dcterms:modified>
</cp:coreProperties>
</file>